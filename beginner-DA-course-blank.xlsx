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03F2ABD6-F0A0-46AF-8BA4-A7B3B12DB8AC}" xr6:coauthVersionLast="47" xr6:coauthVersionMax="47" xr10:uidLastSave="{00000000-0000-0000-0000-000000000000}"/>
  <bookViews>
    <workbookView xWindow="-113" yWindow="-113" windowWidth="24267" windowHeight="13749" activeTab="7" xr2:uid="{26D4546B-D2A1-4444-8EAF-A6228F96F0C1}"/>
  </bookViews>
  <sheets>
    <sheet name="Data" sheetId="1" r:id="rId1"/>
    <sheet name="Quick Statistics" sheetId="3" r:id="rId2"/>
    <sheet name="EDA" sheetId="4" r:id="rId3"/>
    <sheet name="Sales_by_country" sheetId="5" r:id="rId4"/>
    <sheet name="Pivot Tables" sheetId="6" r:id="rId5"/>
    <sheet name="$ per unit" sheetId="7" r:id="rId6"/>
    <sheet name="Anamolies" sheetId="8" r:id="rId7"/>
    <sheet name="Best sales person" sheetId="9" r:id="rId8"/>
  </sheets>
  <definedNames>
    <definedName name="_xlnm._FilterDatabase" localSheetId="0" hidden="1">Data!$C$11:$G$11</definedName>
    <definedName name="_xlchart.v1.0" hidden="1">Anamolies!$S$6</definedName>
    <definedName name="_xlchart.v1.1" hidden="1">Anamolies!$S$7:$S$306</definedName>
    <definedName name="_xlchart.v1.10" hidden="1">Anamolies!$T$6</definedName>
    <definedName name="_xlchart.v1.11" hidden="1">Anamolies!$T$7:$T$306</definedName>
    <definedName name="_xlchart.v1.2" hidden="1">Anamolies!$P$7:$R$306</definedName>
    <definedName name="_xlchart.v1.3" hidden="1">Anamolies!$S$6</definedName>
    <definedName name="_xlchart.v1.4" hidden="1">Anamolies!$S$7:$S$306</definedName>
    <definedName name="_xlchart.v1.5" hidden="1">Anamolies!$T$6</definedName>
    <definedName name="_xlchart.v1.6" hidden="1">Anamolies!$T$7:$T$306</definedName>
    <definedName name="_xlchart.v1.7" hidden="1">Anamolies!$P$7:$R$306</definedName>
    <definedName name="_xlchart.v1.8" hidden="1">Anamolies!$S$6</definedName>
    <definedName name="_xlchart.v1.9" hidden="1">Anamolies!$S$7:$S$306</definedName>
    <definedName name="_xlcn.WorksheetConnection_beginnerDAcourseblank.xlsxdata1" hidden="1">Data[]</definedName>
    <definedName name="Slicer_Sales_Person">#N/A</definedName>
  </definedNames>
  <calcPr calcId="191029"/>
  <pivotCaches>
    <pivotCache cacheId="27" r:id="rId9"/>
    <pivotCache cacheId="26"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DA-course-blank.xlsx!data"/>
        </x15:modelTables>
      </x15:dataModel>
    </ext>
  </extLst>
</workbook>
</file>

<file path=xl/calcChain.xml><?xml version="1.0" encoding="utf-8"?>
<calcChain xmlns="http://schemas.openxmlformats.org/spreadsheetml/2006/main">
  <c r="D7" i="5" l="1"/>
  <c r="D5" i="5"/>
  <c r="D8" i="5"/>
  <c r="D9" i="5"/>
  <c r="D10" i="5"/>
  <c r="D6" i="5"/>
  <c r="E7" i="5"/>
  <c r="E6" i="5"/>
  <c r="E10" i="5"/>
  <c r="E9" i="5"/>
  <c r="E8" i="5"/>
  <c r="E5" i="5"/>
  <c r="C6" i="5"/>
  <c r="C7" i="5"/>
  <c r="C10" i="5"/>
  <c r="C9" i="5"/>
  <c r="C8" i="5"/>
  <c r="C5" i="5"/>
  <c r="D11" i="3" l="1"/>
  <c r="C11" i="3"/>
  <c r="C10" i="3"/>
  <c r="D10" i="3"/>
  <c r="D7" i="3"/>
  <c r="D8" i="3" s="1"/>
  <c r="C7" i="3"/>
  <c r="D6" i="3"/>
  <c r="C6" i="3"/>
  <c r="D5" i="3"/>
  <c r="C5" i="3"/>
  <c r="D4" i="3"/>
  <c r="C4" i="3"/>
  <c r="C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B77D7-64B9-4870-AA74-0FF6D5E4A1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2615C56-C09F-408D-A8B4-42E6F1239A33}" name="WorksheetConnection_beginner-DA-course-blank.xlsx!data" type="102" refreshedVersion="8" minRefreshableVersion="5">
    <extLst>
      <ext xmlns:x15="http://schemas.microsoft.com/office/spreadsheetml/2010/11/main" uri="{DE250136-89BD-433C-8126-D09CA5730AF9}">
        <x15:connection id="data" autoDelete="1">
          <x15:rangePr sourceName="_xlcn.WorksheetConnection_beginnerDAcourseblank.xlsxdata1"/>
        </x15:connection>
      </ext>
    </extLst>
  </connection>
</connections>
</file>

<file path=xl/sharedStrings.xml><?xml version="1.0" encoding="utf-8"?>
<sst xmlns="http://schemas.openxmlformats.org/spreadsheetml/2006/main" count="2842" uniqueCount="89">
  <si>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</si>
  <si>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</si>
  <si>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</si>
  <si>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</si>
  <si>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</si>
  <si>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</si>
  <si>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</si>
  <si>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</si>
  <si>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</si>
  <si>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</si>
  <si>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</si>
  <si>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</si>
  <si>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</si>
  <si>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</si>
  <si>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</si>
  <si>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</si>
  <si>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</si>
  <si>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</si>
  <si>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</si>
  <si>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</si>
  <si>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</si>
  <si>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</si>
  <si>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</si>
  <si>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</si>
  <si>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</si>
  <si>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</si>
  <si>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</si>
  <si>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</si>
  <si>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</si>
  <si>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</si>
  <si>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</si>
  <si>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</si>
  <si>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</si>
  <si>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</si>
  <si>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</si>
  <si>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</si>
  <si>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</si>
  <si>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</si>
  <si>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</si>
  <si>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</si>
  <si>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</si>
  <si>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</si>
  <si>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</si>
  <si>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</si>
  <si>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</si>
  <si>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</si>
  <si>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</si>
  <si>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</si>
  <si>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</si>
  <si>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</si>
  <si>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</si>
  <si>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</si>
  <si>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</si>
  <si>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</si>
  <si>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</si>
  <si>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</si>
  <si>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Quick Statistics</t>
  </si>
  <si>
    <t>Average</t>
  </si>
  <si>
    <t>Median</t>
  </si>
  <si>
    <t xml:space="preserve">Median: </t>
  </si>
  <si>
    <t>Mid Point of your data when it is arranged in ascending or descending order</t>
  </si>
  <si>
    <t>Average:</t>
  </si>
  <si>
    <t>Total (sum) of all values divided by the count of all the values</t>
  </si>
  <si>
    <t>Min</t>
  </si>
  <si>
    <t>Max</t>
  </si>
  <si>
    <t>Range</t>
  </si>
  <si>
    <t>Quartiles:</t>
  </si>
  <si>
    <t>Refer to 1/4th or 3/4th of your data when it is arranged in sort order</t>
  </si>
  <si>
    <t>First Q</t>
  </si>
  <si>
    <t>Third Q</t>
  </si>
  <si>
    <t xml:space="preserve">Country </t>
  </si>
  <si>
    <t xml:space="preserve">Amount </t>
  </si>
  <si>
    <t>Column1</t>
  </si>
  <si>
    <t>SUMIFS:</t>
  </si>
  <si>
    <t xml:space="preserve"> Add values if it meets specific conditions</t>
  </si>
  <si>
    <t>min:</t>
  </si>
  <si>
    <t>to return the mininum value</t>
  </si>
  <si>
    <t xml:space="preserve">max: </t>
  </si>
  <si>
    <t>to return the maximum value</t>
  </si>
  <si>
    <t>Sales by country (using pivot tables)</t>
  </si>
  <si>
    <t>.</t>
  </si>
  <si>
    <t>Row Labels</t>
  </si>
  <si>
    <t>Grand Total</t>
  </si>
  <si>
    <t>Sum of Amount</t>
  </si>
  <si>
    <t>Sum of Units</t>
  </si>
  <si>
    <t xml:space="preserve"> </t>
  </si>
  <si>
    <t>Sales per unit</t>
  </si>
  <si>
    <t>Are there any anamolies in the data?</t>
  </si>
  <si>
    <t>Best sales person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</si>
</sst>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0.00_);[Red]\(&quot;$&quot;#,##0.00\)"/>
    <numFmt numFmtId="166" formatCode="_-[$$-409]* #,##0.00_ ;_-[$$-409]* \-#,##0.00\ ;_-[$$-409]* &quot;-&quot;??_ ;_-@_ "/>
    <numFmt numFmtId="168" formatCode="#,##0.00;[Red]#,##0.00"/>
    <numFmt numFmtId="169" formatCode="&quot;₹&quot;\ #,##0.00;[Red]&quot;₹&quot;\ #,##0.00"/>
    <numFmt numFmtId="171" formatCode="[$$-C09]#,##0.00;[Red][$$-C09]#,##0.00"/>
  </numFmts>
  <fonts count="7" x14ac:knownFonts="1">
    <font>
      <sz val="11"/>
      <color theme="1"/>
      <name val="Calibri"/>
      <family val="2"/>
      <scheme val="minor"/>
    </font>
    <font>
      <sz val="28"/>
      <color theme="1"/>
      <name val="Segoe UI Light"/>
      <family val="2"/>
    </font>
    <font>
      <b/>
      <sz val="11"/>
      <color theme="1"/>
      <name val="Calibri"/>
      <family val="2"/>
      <scheme val="minor"/>
    </font>
    <font>
      <b/>
      <sz val="28"/>
      <color theme="1"/>
      <name val="Segoe UI Light"/>
      <family val="2"/>
    </font>
    <font>
      <sz val="48"/>
      <color theme="1"/>
      <name val="Calibri"/>
      <family val="2"/>
      <scheme val="minor"/>
    </font>
    <font>
      <sz val="11"/>
      <color theme="0"/>
      <name val="Calibri"/>
      <family val="2"/>
      <scheme val="minor"/>
    </font>
    <font>
      <sz val="11"/>
      <color theme="6"/>
      <name val="Calibri"/>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79998168889431442"/>
        <bgColor theme="4" tint="0.79998168889431442"/>
      </patternFill>
    </fill>
  </fills>
  <borders count="4">
    <border>
      <left/>
      <right/>
      <top/>
      <bottom/>
      <diagonal/>
    </border>
    <border>
      <left/>
      <right/>
      <top style="dotted">
        <color theme="0" tint="-0.24994659260841701"/>
      </top>
      <bottom style="dotted">
        <color theme="0" tint="-0.2499465926084170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165" fontId="0" fillId="0" borderId="0" xfId="0" applyNumberFormat="1"/>
    <xf numFmtId="0" fontId="0" fillId="4" borderId="2" xfId="0" applyFill="1" applyBorder="1"/>
    <xf numFmtId="0" fontId="0" fillId="0" borderId="2" xfId="0" applyBorder="1"/>
    <xf numFmtId="0" fontId="3" fillId="3" borderId="0" xfId="0" applyFont="1" applyFill="1" applyAlignment="1">
      <alignment vertical="center"/>
    </xf>
    <xf numFmtId="0" fontId="4" fillId="2" borderId="0" xfId="0" applyFont="1" applyFill="1"/>
    <xf numFmtId="166" fontId="0" fillId="0" borderId="0" xfId="0" applyNumberFormat="1"/>
    <xf numFmtId="0" fontId="2" fillId="0" borderId="3" xfId="0" applyFont="1" applyBorder="1"/>
    <xf numFmtId="0" fontId="2" fillId="0" borderId="3" xfId="0" applyFont="1" applyBorder="1" applyAlignment="1">
      <alignment horizontal="right"/>
    </xf>
    <xf numFmtId="0" fontId="0" fillId="0" borderId="3" xfId="0" applyBorder="1"/>
    <xf numFmtId="164" fontId="0" fillId="0" borderId="3" xfId="0" applyNumberFormat="1" applyBorder="1"/>
    <xf numFmtId="3" fontId="0" fillId="0" borderId="3" xfId="0" applyNumberFormat="1" applyBorder="1"/>
    <xf numFmtId="0" fontId="0" fillId="0" borderId="0" xfId="0" applyNumberFormat="1"/>
    <xf numFmtId="0" fontId="6" fillId="0" borderId="0" xfId="0" applyFont="1"/>
    <xf numFmtId="0" fontId="0" fillId="0" borderId="0" xfId="0" pivotButton="1"/>
    <xf numFmtId="0" fontId="0" fillId="0" borderId="0" xfId="0" applyAlignment="1">
      <alignment horizontal="left"/>
    </xf>
    <xf numFmtId="169" fontId="0" fillId="0" borderId="0" xfId="0" applyNumberFormat="1"/>
    <xf numFmtId="168" fontId="5" fillId="0" borderId="0" xfId="0" applyNumberFormat="1" applyFont="1"/>
    <xf numFmtId="171" fontId="0" fillId="0" borderId="0" xfId="0" applyNumberFormat="1"/>
    <xf numFmtId="0" fontId="0" fillId="0" borderId="0" xfId="0" applyAlignment="1">
      <alignment horizontal="left" indent="1"/>
    </xf>
  </cellXfs>
  <cellStyles count="1">
    <cellStyle name="Normal" xfId="0" builtinId="0"/>
  </cellStyles>
  <dxfs count="57">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numFmt numFmtId="168" formatCode="#,##0.00;[Red]#,##0.00"/>
    </dxf>
    <dxf>
      <numFmt numFmtId="169" formatCode="&quot;₹&quot;\ #,##0.00;[Red]&quot;₹&quot;\ #,##0.00"/>
    </dxf>
    <dxf>
      <font>
        <color theme="0"/>
      </font>
    </dxf>
    <dxf>
      <font>
        <color theme="0"/>
      </font>
    </dxf>
    <dxf>
      <numFmt numFmtId="168" formatCode="#,##0.00;[Red]#,##0.00"/>
    </dxf>
    <dxf>
      <numFmt numFmtId="169" formatCode="&quot;₹&quot;\ #,##0.00;[Red]&quot;₹&quot;\ #,##0.00"/>
    </dxf>
    <dxf>
      <numFmt numFmtId="168" formatCode="#,##0.00;[Red]#,##0.00"/>
    </dxf>
    <dxf>
      <numFmt numFmtId="169" formatCode="&quot;₹&quot;\ #,##0.00;[Red]&quot;₹&quot;\ #,##0.00"/>
    </dxf>
    <dxf>
      <numFmt numFmtId="168" formatCode="#,##0.00;[Red]#,##0.00"/>
    </dxf>
    <dxf>
      <numFmt numFmtId="169" formatCode="&quot;₹&quot;\ #,##0.00;[Red]&quot;₹&quot;\ #,##0.00"/>
    </dxf>
    <dxf>
      <numFmt numFmtId="168" formatCode="#,##0.00;[Red]#,##0.00"/>
    </dxf>
    <dxf>
      <numFmt numFmtId="169" formatCode="&quot;₹&quot;\ #,##0.00;[Red]&quot;₹&quot;\ #,##0.00"/>
    </dxf>
    <dxf>
      <numFmt numFmtId="168" formatCode="#,##0.00;[Red]#,##0.00"/>
    </dxf>
    <dxf>
      <numFmt numFmtId="167" formatCode="&quot;₹&quot;\ #,##0;[Red]&quot;₹&quot;\ #,##0"/>
    </dxf>
    <dxf>
      <font>
        <strike val="0"/>
        <outline val="0"/>
        <shadow val="0"/>
        <u val="none"/>
        <vertAlign val="baseline"/>
        <sz val="11"/>
        <color theme="6"/>
        <name val="Calibri"/>
        <family val="2"/>
        <scheme val="minor"/>
      </font>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style="thin">
          <color theme="4" tint="0.39997558519241921"/>
        </bottom>
      </border>
    </dxf>
    <dxf>
      <border outline="0">
        <bottom style="thin">
          <color indexed="64"/>
        </bottom>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_);[Red]\(&quot;$&quo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642845581802274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Anamolies!$T$6</c:f>
              <c:strCache>
                <c:ptCount val="1"/>
                <c:pt idx="0">
                  <c:v>Units</c:v>
                </c:pt>
              </c:strCache>
            </c:strRef>
          </c:tx>
          <c:spPr>
            <a:ln w="19050" cap="rnd">
              <a:noFill/>
              <a:round/>
            </a:ln>
            <a:effectLst/>
          </c:spPr>
          <c:marker>
            <c:symbol val="circle"/>
            <c:size val="5"/>
            <c:spPr>
              <a:solidFill>
                <a:schemeClr val="accent1"/>
              </a:solidFill>
              <a:ln w="9525">
                <a:solidFill>
                  <a:schemeClr val="accent1"/>
                </a:solidFill>
              </a:ln>
              <a:effectLst/>
            </c:spPr>
          </c:marker>
          <c:xVal>
            <c:numRef>
              <c:f>Anamolies!$S$7:$S$306</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Anamolies!$T$7:$T$306</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1C46-4D13-8142-CFF2255B4830}"/>
            </c:ext>
          </c:extLst>
        </c:ser>
        <c:dLbls>
          <c:showLegendKey val="0"/>
          <c:showVal val="0"/>
          <c:showCatName val="0"/>
          <c:showSerName val="0"/>
          <c:showPercent val="0"/>
          <c:showBubbleSize val="0"/>
        </c:dLbls>
        <c:axId val="421506607"/>
        <c:axId val="421505167"/>
      </c:scatterChart>
      <c:valAx>
        <c:axId val="4215066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05167"/>
        <c:crosses val="autoZero"/>
        <c:crossBetween val="midCat"/>
      </c:valAx>
      <c:valAx>
        <c:axId val="421505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06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83DA5E8E-E610-429D-9784-9C373F190142}">
          <cx:tx>
            <cx:txData>
              <cx:f>_xlchart.v1.0</cx:f>
              <cx:v>Amount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chartData>
  <cx:chart>
    <cx:title pos="t" align="ctr" overlay="0"/>
    <cx:plotArea>
      <cx:plotAreaRegion>
        <cx:series layoutId="boxWhisker" uniqueId="{2C721967-2A78-42BA-92DF-4E0619FF0E90}">
          <cx:tx>
            <cx:txData>
              <cx:f>_xlchart.v1.8</cx:f>
              <cx:v>Amount</cx:v>
            </cx:txData>
          </cx:tx>
          <cx:dataId val="0"/>
          <cx:layoutPr>
            <cx:visibility meanLine="0" meanMarker="1" nonoutliers="0" outliers="1"/>
            <cx:statistics quartileMethod="exclusive"/>
          </cx:layoutPr>
        </cx:series>
        <cx:series layoutId="boxWhisker" uniqueId="{52700216-B30F-4846-AB19-C2B975AAA671}">
          <cx:tx>
            <cx:txData>
              <cx:f>_xlchart.v1.10</cx:f>
              <cx:v>Units</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437322</xdr:colOff>
      <xdr:row>3</xdr:row>
      <xdr:rowOff>182879</xdr:rowOff>
    </xdr:from>
    <xdr:to>
      <xdr:col>14</xdr:col>
      <xdr:colOff>230588</xdr:colOff>
      <xdr:row>13</xdr:row>
      <xdr:rowOff>15903</xdr:rowOff>
    </xdr:to>
    <mc:AlternateContent xmlns:mc="http://schemas.openxmlformats.org/markup-compatibility/2006">
      <mc:Choice xmlns:a14="http://schemas.microsoft.com/office/drawing/2010/main" Requires="a14">
        <xdr:graphicFrame macro="">
          <xdr:nvGraphicFramePr>
            <xdr:cNvPr id="2" name="Sales Person">
              <a:extLst>
                <a:ext uri="{FF2B5EF4-FFF2-40B4-BE49-F238E27FC236}">
                  <a16:creationId xmlns:a16="http://schemas.microsoft.com/office/drawing/2014/main" id="{B8B0DD35-7F85-3C40-1AC7-3E09F6831AB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6098651" y="1224500"/>
              <a:ext cx="3609892" cy="1741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23854</xdr:colOff>
      <xdr:row>4</xdr:row>
      <xdr:rowOff>7949</xdr:rowOff>
    </xdr:from>
    <xdr:to>
      <xdr:col>8</xdr:col>
      <xdr:colOff>143123</xdr:colOff>
      <xdr:row>18</xdr:row>
      <xdr:rowOff>79511</xdr:rowOff>
    </xdr:to>
    <xdr:graphicFrame macro="">
      <xdr:nvGraphicFramePr>
        <xdr:cNvPr id="2" name="Chart 1">
          <a:extLst>
            <a:ext uri="{FF2B5EF4-FFF2-40B4-BE49-F238E27FC236}">
              <a16:creationId xmlns:a16="http://schemas.microsoft.com/office/drawing/2014/main" id="{8E644B8C-139F-CCD8-6DD8-9FA75AA85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19</xdr:row>
      <xdr:rowOff>71560</xdr:rowOff>
    </xdr:from>
    <xdr:to>
      <xdr:col>8</xdr:col>
      <xdr:colOff>119269</xdr:colOff>
      <xdr:row>33</xdr:row>
      <xdr:rowOff>143122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8258D33-D85F-F5F8-0E32-E11760E8B3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6104" y="416648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23853</xdr:colOff>
      <xdr:row>34</xdr:row>
      <xdr:rowOff>182880</xdr:rowOff>
    </xdr:from>
    <xdr:to>
      <xdr:col>8</xdr:col>
      <xdr:colOff>143122</xdr:colOff>
      <xdr:row>49</xdr:row>
      <xdr:rowOff>63610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8DEA933-A547-09B4-6578-93A2694DB5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9957" y="714027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9.390192824074" createdVersion="8" refreshedVersion="8" minRefreshableVersion="3" recordCount="300" xr:uid="{F6D6E20B-D428-403A-BEA9-55F7201CFE5B}">
  <cacheSource type="worksheet">
    <worksheetSource name="data"/>
  </cacheSource>
  <cacheFields count="6">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Field1" numFmtId="0" formula=" 0" databaseField="0"/>
  </cacheFields>
  <extLst>
    <ext xmlns:x14="http://schemas.microsoft.com/office/spreadsheetml/2009/9/main" uri="{725AE2AE-9491-48be-B2B4-4EB974FC3084}">
      <x14:pivotCacheDefinition pivotCacheId="18340437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9.40686516204" backgroundQuery="1" createdVersion="8" refreshedVersion="8" minRefreshableVersion="3" recordCount="0" supportSubquery="1" supportAdvancedDrill="1" xr:uid="{6CA7EDFA-95BD-4BAA-B297-BFD9DB185508}">
  <cacheSource type="external" connectionId="1"/>
  <cacheFields count="4">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5" level="32767"/>
    <cacheField name="[Measures].[Sum of Units]" caption="Sum of Units" numFmtId="0" hierarchy="6" level="32767"/>
    <cacheField name="[Measures].[Sales per unit]" caption="Sales per unit" numFmtId="0" hierarchy="7" level="32767"/>
  </cacheFields>
  <cacheHierarchies count="10">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ales per unit]" caption="Sales per unit" measure="1" displayFolder="" measureGroup="data" count="0" oneField="1">
      <fieldsUsage count="1">
        <fieldUsage x="3"/>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r>
  <r>
    <x v="1"/>
    <x v="1"/>
    <s v="Choco Coated Almonds"/>
    <n v="6706"/>
    <n v="459"/>
  </r>
  <r>
    <x v="2"/>
    <x v="1"/>
    <s v="Almond Choco"/>
    <n v="959"/>
    <n v="147"/>
  </r>
  <r>
    <x v="3"/>
    <x v="2"/>
    <s v="Drinking Coco"/>
    <n v="9632"/>
    <n v="288"/>
  </r>
  <r>
    <x v="4"/>
    <x v="3"/>
    <s v="White Choc"/>
    <n v="2100"/>
    <n v="414"/>
  </r>
  <r>
    <x v="0"/>
    <x v="1"/>
    <s v="Peanut Butter Cubes"/>
    <n v="8869"/>
    <n v="432"/>
  </r>
  <r>
    <x v="4"/>
    <x v="4"/>
    <s v="Smooth Sliky Salty"/>
    <n v="2681"/>
    <n v="54"/>
  </r>
  <r>
    <x v="1"/>
    <x v="1"/>
    <s v="After Nines"/>
    <n v="5012"/>
    <n v="210"/>
  </r>
  <r>
    <x v="5"/>
    <x v="4"/>
    <s v="50% Dark Bites"/>
    <n v="1281"/>
    <n v="75"/>
  </r>
  <r>
    <x v="6"/>
    <x v="0"/>
    <s v="50% Dark Bites"/>
    <n v="4991"/>
    <n v="12"/>
  </r>
  <r>
    <x v="7"/>
    <x v="3"/>
    <s v="White Choc"/>
    <n v="1785"/>
    <n v="462"/>
  </r>
  <r>
    <x v="8"/>
    <x v="0"/>
    <s v="Eclairs"/>
    <n v="3983"/>
    <n v="144"/>
  </r>
  <r>
    <x v="2"/>
    <x v="4"/>
    <s v="Mint Chip Choco"/>
    <n v="2646"/>
    <n v="120"/>
  </r>
  <r>
    <x v="7"/>
    <x v="5"/>
    <s v="Milk Bars"/>
    <n v="252"/>
    <n v="54"/>
  </r>
  <r>
    <x v="8"/>
    <x v="1"/>
    <s v="White Choc"/>
    <n v="2464"/>
    <n v="234"/>
  </r>
  <r>
    <x v="8"/>
    <x v="1"/>
    <s v="Manuka Honey Choco"/>
    <n v="2114"/>
    <n v="66"/>
  </r>
  <r>
    <x v="4"/>
    <x v="0"/>
    <s v="Smooth Sliky Salty"/>
    <n v="7693"/>
    <n v="87"/>
  </r>
  <r>
    <x v="6"/>
    <x v="5"/>
    <s v="Orange Choco"/>
    <n v="15610"/>
    <n v="339"/>
  </r>
  <r>
    <x v="3"/>
    <x v="5"/>
    <s v="After Nines"/>
    <n v="336"/>
    <n v="144"/>
  </r>
  <r>
    <x v="7"/>
    <x v="3"/>
    <s v="Orange Choco"/>
    <n v="9443"/>
    <n v="162"/>
  </r>
  <r>
    <x v="2"/>
    <x v="5"/>
    <s v="Fruit &amp; Nut Bars"/>
    <n v="8155"/>
    <n v="90"/>
  </r>
  <r>
    <x v="1"/>
    <x v="4"/>
    <s v="Fruit &amp; Nut Bars"/>
    <n v="1701"/>
    <n v="234"/>
  </r>
  <r>
    <x v="9"/>
    <x v="4"/>
    <s v="After Nines"/>
    <n v="2205"/>
    <n v="141"/>
  </r>
  <r>
    <x v="1"/>
    <x v="0"/>
    <s v="99% Dark &amp; Pure"/>
    <n v="1771"/>
    <n v="204"/>
  </r>
  <r>
    <x v="3"/>
    <x v="1"/>
    <s v="Raspberry Choco"/>
    <n v="2114"/>
    <n v="186"/>
  </r>
  <r>
    <x v="3"/>
    <x v="2"/>
    <s v="Milk Bars"/>
    <n v="10311"/>
    <n v="231"/>
  </r>
  <r>
    <x v="8"/>
    <x v="3"/>
    <s v="Mint Chip Choco"/>
    <n v="21"/>
    <n v="168"/>
  </r>
  <r>
    <x v="9"/>
    <x v="1"/>
    <s v="Orange Choco"/>
    <n v="1974"/>
    <n v="195"/>
  </r>
  <r>
    <x v="6"/>
    <x v="2"/>
    <s v="Fruit &amp; Nut Bars"/>
    <n v="6314"/>
    <n v="15"/>
  </r>
  <r>
    <x v="9"/>
    <x v="0"/>
    <s v="Fruit &amp; Nut Bars"/>
    <n v="4683"/>
    <n v="30"/>
  </r>
  <r>
    <x v="3"/>
    <x v="0"/>
    <s v="85% Dark Bars"/>
    <n v="6398"/>
    <n v="102"/>
  </r>
  <r>
    <x v="7"/>
    <x v="1"/>
    <s v="99% Dark &amp; Pure"/>
    <n v="553"/>
    <n v="15"/>
  </r>
  <r>
    <x v="1"/>
    <x v="3"/>
    <s v="70% Dark Bites"/>
    <n v="7021"/>
    <n v="183"/>
  </r>
  <r>
    <x v="0"/>
    <x v="3"/>
    <s v="After Nines"/>
    <n v="5817"/>
    <n v="12"/>
  </r>
  <r>
    <x v="3"/>
    <x v="3"/>
    <s v="50% Dark Bites"/>
    <n v="3976"/>
    <n v="72"/>
  </r>
  <r>
    <x v="4"/>
    <x v="4"/>
    <s v="Organic Choco Syrup"/>
    <n v="1134"/>
    <n v="282"/>
  </r>
  <r>
    <x v="7"/>
    <x v="3"/>
    <s v="Caramel Stuffed Bars"/>
    <n v="6027"/>
    <n v="144"/>
  </r>
  <r>
    <x v="4"/>
    <x v="0"/>
    <s v="Mint Chip Choco"/>
    <n v="1904"/>
    <n v="405"/>
  </r>
  <r>
    <x v="5"/>
    <x v="5"/>
    <s v="Choco Coated Almonds"/>
    <n v="3262"/>
    <n v="75"/>
  </r>
  <r>
    <x v="0"/>
    <x v="5"/>
    <s v="Organic Choco Syrup"/>
    <n v="2289"/>
    <n v="135"/>
  </r>
  <r>
    <x v="6"/>
    <x v="5"/>
    <s v="Organic Choco Syrup"/>
    <n v="6986"/>
    <n v="21"/>
  </r>
  <r>
    <x v="7"/>
    <x v="4"/>
    <s v="Fruit &amp; Nut Bars"/>
    <n v="4417"/>
    <n v="153"/>
  </r>
  <r>
    <x v="4"/>
    <x v="5"/>
    <s v="Raspberry Choco"/>
    <n v="1442"/>
    <n v="15"/>
  </r>
  <r>
    <x v="8"/>
    <x v="1"/>
    <s v="50% Dark Bites"/>
    <n v="2415"/>
    <n v="255"/>
  </r>
  <r>
    <x v="7"/>
    <x v="0"/>
    <s v="99% Dark &amp; Pure"/>
    <n v="238"/>
    <n v="18"/>
  </r>
  <r>
    <x v="4"/>
    <x v="0"/>
    <s v="Fruit &amp; Nut Bars"/>
    <n v="4949"/>
    <n v="189"/>
  </r>
  <r>
    <x v="6"/>
    <x v="4"/>
    <s v="Choco Coated Almonds"/>
    <n v="5075"/>
    <n v="21"/>
  </r>
  <r>
    <x v="8"/>
    <x v="2"/>
    <s v="Mint Chip Choco"/>
    <n v="9198"/>
    <n v="36"/>
  </r>
  <r>
    <x v="4"/>
    <x v="5"/>
    <s v="Manuka Honey Choco"/>
    <n v="3339"/>
    <n v="75"/>
  </r>
  <r>
    <x v="0"/>
    <x v="5"/>
    <s v="Eclairs"/>
    <n v="5019"/>
    <n v="156"/>
  </r>
  <r>
    <x v="6"/>
    <x v="2"/>
    <s v="Mint Chip Choco"/>
    <n v="16184"/>
    <n v="39"/>
  </r>
  <r>
    <x v="4"/>
    <x v="2"/>
    <s v="Spicy Special Slims"/>
    <n v="497"/>
    <n v="63"/>
  </r>
  <r>
    <x v="7"/>
    <x v="2"/>
    <s v="Manuka Honey Choco"/>
    <n v="8211"/>
    <n v="75"/>
  </r>
  <r>
    <x v="7"/>
    <x v="4"/>
    <s v="Caramel Stuffed Bars"/>
    <n v="6580"/>
    <n v="183"/>
  </r>
  <r>
    <x v="3"/>
    <x v="1"/>
    <s v="Milk Bars"/>
    <n v="4760"/>
    <n v="69"/>
  </r>
  <r>
    <x v="0"/>
    <x v="2"/>
    <s v="White Choc"/>
    <n v="5439"/>
    <n v="30"/>
  </r>
  <r>
    <x v="3"/>
    <x v="5"/>
    <s v="Eclairs"/>
    <n v="1463"/>
    <n v="39"/>
  </r>
  <r>
    <x v="8"/>
    <x v="5"/>
    <s v="Choco Coated Almonds"/>
    <n v="7777"/>
    <n v="504"/>
  </r>
  <r>
    <x v="2"/>
    <x v="0"/>
    <s v="Manuka Honey Choco"/>
    <n v="1085"/>
    <n v="273"/>
  </r>
  <r>
    <x v="6"/>
    <x v="0"/>
    <s v="Smooth Sliky Salty"/>
    <n v="182"/>
    <n v="48"/>
  </r>
  <r>
    <x v="4"/>
    <x v="5"/>
    <s v="Organic Choco Syrup"/>
    <n v="4242"/>
    <n v="207"/>
  </r>
  <r>
    <x v="4"/>
    <x v="2"/>
    <s v="Choco Coated Almonds"/>
    <n v="6118"/>
    <n v="9"/>
  </r>
  <r>
    <x v="9"/>
    <x v="2"/>
    <s v="Fruit &amp; Nut Bars"/>
    <n v="2317"/>
    <n v="261"/>
  </r>
  <r>
    <x v="4"/>
    <x v="4"/>
    <s v="Mint Chip Choco"/>
    <n v="938"/>
    <n v="6"/>
  </r>
  <r>
    <x v="1"/>
    <x v="0"/>
    <s v="Raspberry Choco"/>
    <n v="9709"/>
    <n v="30"/>
  </r>
  <r>
    <x v="5"/>
    <x v="5"/>
    <s v="Orange Choco"/>
    <n v="2205"/>
    <n v="138"/>
  </r>
  <r>
    <x v="5"/>
    <x v="0"/>
    <s v="Eclairs"/>
    <n v="4487"/>
    <n v="111"/>
  </r>
  <r>
    <x v="6"/>
    <x v="1"/>
    <s v="Drinking Coco"/>
    <n v="2415"/>
    <n v="15"/>
  </r>
  <r>
    <x v="0"/>
    <x v="5"/>
    <s v="99% Dark &amp; Pure"/>
    <n v="4018"/>
    <n v="162"/>
  </r>
  <r>
    <x v="6"/>
    <x v="5"/>
    <s v="99% Dark &amp; Pure"/>
    <n v="861"/>
    <n v="195"/>
  </r>
  <r>
    <x v="9"/>
    <x v="4"/>
    <s v="50% Dark Bites"/>
    <n v="5586"/>
    <n v="525"/>
  </r>
  <r>
    <x v="5"/>
    <x v="5"/>
    <s v="Peanut Butter Cubes"/>
    <n v="2226"/>
    <n v="48"/>
  </r>
  <r>
    <x v="2"/>
    <x v="5"/>
    <s v="Caramel Stuffed Bars"/>
    <n v="14329"/>
    <n v="150"/>
  </r>
  <r>
    <x v="2"/>
    <x v="5"/>
    <s v="Orange Choco"/>
    <n v="8463"/>
    <n v="492"/>
  </r>
  <r>
    <x v="6"/>
    <x v="5"/>
    <s v="Manuka Honey Choco"/>
    <n v="2891"/>
    <n v="102"/>
  </r>
  <r>
    <x v="8"/>
    <x v="2"/>
    <s v="Fruit &amp; Nut Bars"/>
    <n v="3773"/>
    <n v="165"/>
  </r>
  <r>
    <x v="3"/>
    <x v="2"/>
    <s v="Caramel Stuffed Bars"/>
    <n v="854"/>
    <n v="309"/>
  </r>
  <r>
    <x v="4"/>
    <x v="2"/>
    <s v="Eclairs"/>
    <n v="4970"/>
    <n v="156"/>
  </r>
  <r>
    <x v="2"/>
    <x v="1"/>
    <s v="Baker's Choco Chips"/>
    <n v="98"/>
    <n v="159"/>
  </r>
  <r>
    <x v="6"/>
    <x v="1"/>
    <s v="Raspberry Choco"/>
    <n v="13391"/>
    <n v="201"/>
  </r>
  <r>
    <x v="1"/>
    <x v="3"/>
    <s v="Smooth Sliky Salty"/>
    <n v="8890"/>
    <n v="210"/>
  </r>
  <r>
    <x v="7"/>
    <x v="4"/>
    <s v="Milk Bars"/>
    <n v="56"/>
    <n v="51"/>
  </r>
  <r>
    <x v="8"/>
    <x v="2"/>
    <s v="White Choc"/>
    <n v="3339"/>
    <n v="39"/>
  </r>
  <r>
    <x v="9"/>
    <x v="1"/>
    <s v="Drinking Coco"/>
    <n v="3808"/>
    <n v="279"/>
  </r>
  <r>
    <x v="9"/>
    <x v="4"/>
    <s v="Milk Bars"/>
    <n v="63"/>
    <n v="123"/>
  </r>
  <r>
    <x v="7"/>
    <x v="3"/>
    <s v="Organic Choco Syrup"/>
    <n v="7812"/>
    <n v="81"/>
  </r>
  <r>
    <x v="0"/>
    <x v="0"/>
    <s v="99% Dark &amp; Pure"/>
    <n v="7693"/>
    <n v="21"/>
  </r>
  <r>
    <x v="8"/>
    <x v="2"/>
    <s v="Caramel Stuffed Bars"/>
    <n v="973"/>
    <n v="162"/>
  </r>
  <r>
    <x v="9"/>
    <x v="1"/>
    <s v="Spicy Special Slims"/>
    <n v="567"/>
    <n v="228"/>
  </r>
  <r>
    <x v="9"/>
    <x v="2"/>
    <s v="Manuka Honey Choco"/>
    <n v="2471"/>
    <n v="342"/>
  </r>
  <r>
    <x v="6"/>
    <x v="4"/>
    <s v="Milk Bars"/>
    <n v="7189"/>
    <n v="54"/>
  </r>
  <r>
    <x v="3"/>
    <x v="1"/>
    <s v="Caramel Stuffed Bars"/>
    <n v="7455"/>
    <n v="216"/>
  </r>
  <r>
    <x v="8"/>
    <x v="5"/>
    <s v="Baker's Choco Chips"/>
    <n v="3108"/>
    <n v="54"/>
  </r>
  <r>
    <x v="4"/>
    <x v="4"/>
    <s v="White Choc"/>
    <n v="469"/>
    <n v="75"/>
  </r>
  <r>
    <x v="2"/>
    <x v="0"/>
    <s v="Fruit &amp; Nut Bars"/>
    <n v="2737"/>
    <n v="93"/>
  </r>
  <r>
    <x v="2"/>
    <x v="0"/>
    <s v="White Choc"/>
    <n v="4305"/>
    <n v="156"/>
  </r>
  <r>
    <x v="2"/>
    <x v="4"/>
    <s v="Eclairs"/>
    <n v="2408"/>
    <n v="9"/>
  </r>
  <r>
    <x v="8"/>
    <x v="2"/>
    <s v="99% Dark &amp; Pure"/>
    <n v="1281"/>
    <n v="18"/>
  </r>
  <r>
    <x v="0"/>
    <x v="1"/>
    <s v="Choco Coated Almonds"/>
    <n v="12348"/>
    <n v="234"/>
  </r>
  <r>
    <x v="8"/>
    <x v="5"/>
    <s v="Caramel Stuffed Bars"/>
    <n v="3689"/>
    <n v="312"/>
  </r>
  <r>
    <x v="5"/>
    <x v="2"/>
    <s v="99% Dark &amp; Pure"/>
    <n v="2870"/>
    <n v="300"/>
  </r>
  <r>
    <x v="7"/>
    <x v="2"/>
    <s v="Organic Choco Syrup"/>
    <n v="798"/>
    <n v="519"/>
  </r>
  <r>
    <x v="3"/>
    <x v="0"/>
    <s v="Spicy Special Slims"/>
    <n v="2933"/>
    <n v="9"/>
  </r>
  <r>
    <x v="6"/>
    <x v="1"/>
    <s v="Almond Choco"/>
    <n v="2744"/>
    <n v="9"/>
  </r>
  <r>
    <x v="0"/>
    <x v="2"/>
    <s v="Peanut Butter Cubes"/>
    <n v="9772"/>
    <n v="90"/>
  </r>
  <r>
    <x v="5"/>
    <x v="5"/>
    <s v="White Choc"/>
    <n v="1568"/>
    <n v="96"/>
  </r>
  <r>
    <x v="7"/>
    <x v="2"/>
    <s v="Mint Chip Choco"/>
    <n v="11417"/>
    <n v="21"/>
  </r>
  <r>
    <x v="0"/>
    <x v="5"/>
    <s v="Baker's Choco Chips"/>
    <n v="6748"/>
    <n v="48"/>
  </r>
  <r>
    <x v="9"/>
    <x v="2"/>
    <s v="Organic Choco Syrup"/>
    <n v="1407"/>
    <n v="72"/>
  </r>
  <r>
    <x v="1"/>
    <x v="1"/>
    <s v="Manuka Honey Choco"/>
    <n v="2023"/>
    <n v="168"/>
  </r>
  <r>
    <x v="6"/>
    <x v="3"/>
    <s v="Baker's Choco Chips"/>
    <n v="5236"/>
    <n v="51"/>
  </r>
  <r>
    <x v="3"/>
    <x v="2"/>
    <s v="99% Dark &amp; Pure"/>
    <n v="1925"/>
    <n v="192"/>
  </r>
  <r>
    <x v="5"/>
    <x v="0"/>
    <s v="50% Dark Bites"/>
    <n v="6608"/>
    <n v="225"/>
  </r>
  <r>
    <x v="4"/>
    <x v="5"/>
    <s v="Baker's Choco Chips"/>
    <n v="8008"/>
    <n v="456"/>
  </r>
  <r>
    <x v="9"/>
    <x v="5"/>
    <s v="White Choc"/>
    <n v="1428"/>
    <n v="93"/>
  </r>
  <r>
    <x v="4"/>
    <x v="5"/>
    <s v="Almond Choco"/>
    <n v="525"/>
    <n v="48"/>
  </r>
  <r>
    <x v="4"/>
    <x v="0"/>
    <s v="Drinking Coco"/>
    <n v="1505"/>
    <n v="102"/>
  </r>
  <r>
    <x v="5"/>
    <x v="1"/>
    <s v="70% Dark Bites"/>
    <n v="6755"/>
    <n v="252"/>
  </r>
  <r>
    <x v="7"/>
    <x v="0"/>
    <s v="Drinking Coco"/>
    <n v="11571"/>
    <n v="138"/>
  </r>
  <r>
    <x v="0"/>
    <x v="4"/>
    <s v="White Choc"/>
    <n v="2541"/>
    <n v="90"/>
  </r>
  <r>
    <x v="3"/>
    <x v="0"/>
    <s v="70% Dark Bites"/>
    <n v="1526"/>
    <n v="240"/>
  </r>
  <r>
    <x v="0"/>
    <x v="4"/>
    <s v="Almond Choco"/>
    <n v="6125"/>
    <n v="102"/>
  </r>
  <r>
    <x v="3"/>
    <x v="1"/>
    <s v="Organic Choco Syrup"/>
    <n v="847"/>
    <n v="129"/>
  </r>
  <r>
    <x v="1"/>
    <x v="1"/>
    <s v="Organic Choco Syrup"/>
    <n v="4753"/>
    <n v="300"/>
  </r>
  <r>
    <x v="4"/>
    <x v="4"/>
    <s v="Peanut Butter Cubes"/>
    <n v="959"/>
    <n v="135"/>
  </r>
  <r>
    <x v="5"/>
    <x v="1"/>
    <s v="85% Dark Bars"/>
    <n v="2793"/>
    <n v="114"/>
  </r>
  <r>
    <x v="5"/>
    <x v="1"/>
    <s v="50% Dark Bites"/>
    <n v="4606"/>
    <n v="63"/>
  </r>
  <r>
    <x v="5"/>
    <x v="2"/>
    <s v="Manuka Honey Choco"/>
    <n v="5551"/>
    <n v="252"/>
  </r>
  <r>
    <x v="9"/>
    <x v="2"/>
    <s v="Choco Coated Almonds"/>
    <n v="6657"/>
    <n v="303"/>
  </r>
  <r>
    <x v="5"/>
    <x v="3"/>
    <s v="Eclairs"/>
    <n v="4438"/>
    <n v="246"/>
  </r>
  <r>
    <x v="1"/>
    <x v="4"/>
    <s v="After Nines"/>
    <n v="168"/>
    <n v="84"/>
  </r>
  <r>
    <x v="5"/>
    <x v="5"/>
    <s v="Eclairs"/>
    <n v="7777"/>
    <n v="39"/>
  </r>
  <r>
    <x v="6"/>
    <x v="2"/>
    <s v="Eclairs"/>
    <n v="3339"/>
    <n v="348"/>
  </r>
  <r>
    <x v="5"/>
    <x v="0"/>
    <s v="Peanut Butter Cubes"/>
    <n v="6391"/>
    <n v="48"/>
  </r>
  <r>
    <x v="6"/>
    <x v="0"/>
    <s v="After Nines"/>
    <n v="518"/>
    <n v="75"/>
  </r>
  <r>
    <x v="5"/>
    <x v="4"/>
    <s v="Caramel Stuffed Bars"/>
    <n v="5677"/>
    <n v="258"/>
  </r>
  <r>
    <x v="4"/>
    <x v="3"/>
    <s v="Eclairs"/>
    <n v="6048"/>
    <n v="27"/>
  </r>
  <r>
    <x v="1"/>
    <x v="4"/>
    <s v="Choco Coated Almonds"/>
    <n v="3752"/>
    <n v="213"/>
  </r>
  <r>
    <x v="6"/>
    <x v="1"/>
    <s v="Manuka Honey Choco"/>
    <n v="4480"/>
    <n v="357"/>
  </r>
  <r>
    <x v="2"/>
    <x v="0"/>
    <s v="Almond Choco"/>
    <n v="259"/>
    <n v="207"/>
  </r>
  <r>
    <x v="1"/>
    <x v="0"/>
    <s v="70% Dark Bites"/>
    <n v="42"/>
    <n v="150"/>
  </r>
  <r>
    <x v="3"/>
    <x v="2"/>
    <s v="Baker's Choco Chips"/>
    <n v="98"/>
    <n v="204"/>
  </r>
  <r>
    <x v="5"/>
    <x v="1"/>
    <s v="Organic Choco Syrup"/>
    <n v="2478"/>
    <n v="21"/>
  </r>
  <r>
    <x v="3"/>
    <x v="5"/>
    <s v="Peanut Butter Cubes"/>
    <n v="7847"/>
    <n v="174"/>
  </r>
  <r>
    <x v="7"/>
    <x v="0"/>
    <s v="Eclairs"/>
    <n v="9926"/>
    <n v="201"/>
  </r>
  <r>
    <x v="1"/>
    <x v="4"/>
    <s v="Milk Bars"/>
    <n v="819"/>
    <n v="510"/>
  </r>
  <r>
    <x v="4"/>
    <x v="3"/>
    <s v="Manuka Honey Choco"/>
    <n v="3052"/>
    <n v="378"/>
  </r>
  <r>
    <x v="2"/>
    <x v="5"/>
    <s v="Spicy Special Slims"/>
    <n v="6832"/>
    <n v="27"/>
  </r>
  <r>
    <x v="7"/>
    <x v="3"/>
    <s v="Mint Chip Choco"/>
    <n v="2016"/>
    <n v="117"/>
  </r>
  <r>
    <x v="4"/>
    <x v="4"/>
    <s v="Spicy Special Slims"/>
    <n v="7322"/>
    <n v="36"/>
  </r>
  <r>
    <x v="1"/>
    <x v="1"/>
    <s v="Peanut Butter Cubes"/>
    <n v="357"/>
    <n v="126"/>
  </r>
  <r>
    <x v="2"/>
    <x v="3"/>
    <s v="White Choc"/>
    <n v="3192"/>
    <n v="72"/>
  </r>
  <r>
    <x v="5"/>
    <x v="2"/>
    <s v="After Nines"/>
    <n v="8435"/>
    <n v="42"/>
  </r>
  <r>
    <x v="0"/>
    <x v="3"/>
    <s v="Manuka Honey Choco"/>
    <n v="0"/>
    <n v="135"/>
  </r>
  <r>
    <x v="5"/>
    <x v="5"/>
    <s v="85% Dark Bars"/>
    <n v="8862"/>
    <n v="189"/>
  </r>
  <r>
    <x v="4"/>
    <x v="0"/>
    <s v="Caramel Stuffed Bars"/>
    <n v="3556"/>
    <n v="459"/>
  </r>
  <r>
    <x v="6"/>
    <x v="5"/>
    <s v="Raspberry Choco"/>
    <n v="7280"/>
    <n v="201"/>
  </r>
  <r>
    <x v="4"/>
    <x v="5"/>
    <s v="70% Dark Bites"/>
    <n v="3402"/>
    <n v="366"/>
  </r>
  <r>
    <x v="8"/>
    <x v="0"/>
    <s v="Manuka Honey Choco"/>
    <n v="4592"/>
    <n v="324"/>
  </r>
  <r>
    <x v="2"/>
    <x v="1"/>
    <s v="Raspberry Choco"/>
    <n v="7833"/>
    <n v="243"/>
  </r>
  <r>
    <x v="7"/>
    <x v="3"/>
    <s v="Spicy Special Slims"/>
    <n v="7651"/>
    <n v="213"/>
  </r>
  <r>
    <x v="0"/>
    <x v="1"/>
    <s v="70% Dark Bites"/>
    <n v="2275"/>
    <n v="447"/>
  </r>
  <r>
    <x v="0"/>
    <x v="4"/>
    <s v="Milk Bars"/>
    <n v="5670"/>
    <n v="297"/>
  </r>
  <r>
    <x v="5"/>
    <x v="1"/>
    <s v="Mint Chip Choco"/>
    <n v="2135"/>
    <n v="27"/>
  </r>
  <r>
    <x v="0"/>
    <x v="5"/>
    <s v="Fruit &amp; Nut Bars"/>
    <n v="2779"/>
    <n v="75"/>
  </r>
  <r>
    <x v="9"/>
    <x v="3"/>
    <s v="Peanut Butter Cubes"/>
    <n v="12950"/>
    <n v="30"/>
  </r>
  <r>
    <x v="5"/>
    <x v="2"/>
    <s v="Drinking Coco"/>
    <n v="2646"/>
    <n v="177"/>
  </r>
  <r>
    <x v="0"/>
    <x v="5"/>
    <s v="Peanut Butter Cubes"/>
    <n v="3794"/>
    <n v="159"/>
  </r>
  <r>
    <x v="8"/>
    <x v="1"/>
    <s v="Peanut Butter Cubes"/>
    <n v="819"/>
    <n v="306"/>
  </r>
  <r>
    <x v="8"/>
    <x v="5"/>
    <s v="Orange Choco"/>
    <n v="2583"/>
    <n v="18"/>
  </r>
  <r>
    <x v="5"/>
    <x v="1"/>
    <s v="99% Dark &amp; Pure"/>
    <n v="4585"/>
    <n v="240"/>
  </r>
  <r>
    <x v="6"/>
    <x v="5"/>
    <s v="Peanut Butter Cubes"/>
    <n v="1652"/>
    <n v="93"/>
  </r>
  <r>
    <x v="9"/>
    <x v="5"/>
    <s v="Baker's Choco Chips"/>
    <n v="4991"/>
    <n v="9"/>
  </r>
  <r>
    <x v="1"/>
    <x v="5"/>
    <s v="Mint Chip Choco"/>
    <n v="2009"/>
    <n v="219"/>
  </r>
  <r>
    <x v="7"/>
    <x v="3"/>
    <s v="After Nines"/>
    <n v="1568"/>
    <n v="141"/>
  </r>
  <r>
    <x v="3"/>
    <x v="0"/>
    <s v="Orange Choco"/>
    <n v="3388"/>
    <n v="123"/>
  </r>
  <r>
    <x v="0"/>
    <x v="4"/>
    <s v="85% Dark Bars"/>
    <n v="623"/>
    <n v="51"/>
  </r>
  <r>
    <x v="4"/>
    <x v="2"/>
    <s v="Almond Choco"/>
    <n v="10073"/>
    <n v="120"/>
  </r>
  <r>
    <x v="1"/>
    <x v="3"/>
    <s v="Baker's Choco Chips"/>
    <n v="1561"/>
    <n v="27"/>
  </r>
  <r>
    <x v="2"/>
    <x v="2"/>
    <s v="Organic Choco Syrup"/>
    <n v="11522"/>
    <n v="204"/>
  </r>
  <r>
    <x v="4"/>
    <x v="4"/>
    <s v="Milk Bars"/>
    <n v="2317"/>
    <n v="123"/>
  </r>
  <r>
    <x v="9"/>
    <x v="0"/>
    <s v="Caramel Stuffed Bars"/>
    <n v="3059"/>
    <n v="27"/>
  </r>
  <r>
    <x v="3"/>
    <x v="0"/>
    <s v="Baker's Choco Chips"/>
    <n v="2324"/>
    <n v="177"/>
  </r>
  <r>
    <x v="8"/>
    <x v="3"/>
    <s v="Baker's Choco Chips"/>
    <n v="4956"/>
    <n v="171"/>
  </r>
  <r>
    <x v="9"/>
    <x v="5"/>
    <s v="99% Dark &amp; Pure"/>
    <n v="5355"/>
    <n v="204"/>
  </r>
  <r>
    <x v="8"/>
    <x v="5"/>
    <s v="50% Dark Bites"/>
    <n v="7259"/>
    <n v="276"/>
  </r>
  <r>
    <x v="1"/>
    <x v="0"/>
    <s v="Baker's Choco Chips"/>
    <n v="6279"/>
    <n v="45"/>
  </r>
  <r>
    <x v="0"/>
    <x v="4"/>
    <s v="Manuka Honey Choco"/>
    <n v="2541"/>
    <n v="45"/>
  </r>
  <r>
    <x v="4"/>
    <x v="1"/>
    <s v="Organic Choco Syrup"/>
    <n v="3864"/>
    <n v="177"/>
  </r>
  <r>
    <x v="6"/>
    <x v="2"/>
    <s v="Milk Bars"/>
    <n v="6146"/>
    <n v="63"/>
  </r>
  <r>
    <x v="2"/>
    <x v="3"/>
    <s v="Drinking Coco"/>
    <n v="2639"/>
    <n v="204"/>
  </r>
  <r>
    <x v="1"/>
    <x v="0"/>
    <s v="After Nines"/>
    <n v="1890"/>
    <n v="195"/>
  </r>
  <r>
    <x v="5"/>
    <x v="5"/>
    <s v="50% Dark Bites"/>
    <n v="1932"/>
    <n v="369"/>
  </r>
  <r>
    <x v="8"/>
    <x v="5"/>
    <s v="White Choc"/>
    <n v="6300"/>
    <n v="42"/>
  </r>
  <r>
    <x v="4"/>
    <x v="0"/>
    <s v="70% Dark Bites"/>
    <n v="560"/>
    <n v="81"/>
  </r>
  <r>
    <x v="2"/>
    <x v="0"/>
    <s v="Baker's Choco Chips"/>
    <n v="2856"/>
    <n v="246"/>
  </r>
  <r>
    <x v="2"/>
    <x v="5"/>
    <s v="Eclairs"/>
    <n v="707"/>
    <n v="174"/>
  </r>
  <r>
    <x v="1"/>
    <x v="1"/>
    <s v="70% Dark Bites"/>
    <n v="3598"/>
    <n v="81"/>
  </r>
  <r>
    <x v="0"/>
    <x v="1"/>
    <s v="After Nines"/>
    <n v="6853"/>
    <n v="372"/>
  </r>
  <r>
    <x v="0"/>
    <x v="1"/>
    <s v="Mint Chip Choco"/>
    <n v="4725"/>
    <n v="174"/>
  </r>
  <r>
    <x v="3"/>
    <x v="2"/>
    <s v="Choco Coated Almonds"/>
    <n v="10304"/>
    <n v="84"/>
  </r>
  <r>
    <x v="3"/>
    <x v="5"/>
    <s v="Mint Chip Choco"/>
    <n v="1274"/>
    <n v="225"/>
  </r>
  <r>
    <x v="6"/>
    <x v="2"/>
    <s v="70% Dark Bites"/>
    <n v="1526"/>
    <n v="105"/>
  </r>
  <r>
    <x v="0"/>
    <x v="3"/>
    <s v="Caramel Stuffed Bars"/>
    <n v="3101"/>
    <n v="225"/>
  </r>
  <r>
    <x v="7"/>
    <x v="0"/>
    <s v="50% Dark Bites"/>
    <n v="1057"/>
    <n v="54"/>
  </r>
  <r>
    <x v="5"/>
    <x v="0"/>
    <s v="Baker's Choco Chips"/>
    <n v="5306"/>
    <n v="0"/>
  </r>
  <r>
    <x v="6"/>
    <x v="3"/>
    <s v="85% Dark Bars"/>
    <n v="4018"/>
    <n v="171"/>
  </r>
  <r>
    <x v="2"/>
    <x v="5"/>
    <s v="Mint Chip Choco"/>
    <n v="938"/>
    <n v="189"/>
  </r>
  <r>
    <x v="5"/>
    <x v="4"/>
    <s v="Drinking Coco"/>
    <n v="1778"/>
    <n v="270"/>
  </r>
  <r>
    <x v="4"/>
    <x v="3"/>
    <s v="70% Dark Bites"/>
    <n v="1638"/>
    <n v="63"/>
  </r>
  <r>
    <x v="3"/>
    <x v="4"/>
    <s v="White Choc"/>
    <n v="154"/>
    <n v="21"/>
  </r>
  <r>
    <x v="5"/>
    <x v="0"/>
    <s v="After Nines"/>
    <n v="9835"/>
    <n v="207"/>
  </r>
  <r>
    <x v="2"/>
    <x v="0"/>
    <s v="Orange Choco"/>
    <n v="7273"/>
    <n v="96"/>
  </r>
  <r>
    <x v="6"/>
    <x v="3"/>
    <s v="After Nines"/>
    <n v="6909"/>
    <n v="81"/>
  </r>
  <r>
    <x v="2"/>
    <x v="3"/>
    <s v="85% Dark Bars"/>
    <n v="3920"/>
    <n v="306"/>
  </r>
  <r>
    <x v="9"/>
    <x v="3"/>
    <s v="Spicy Special Slims"/>
    <n v="4858"/>
    <n v="279"/>
  </r>
  <r>
    <x v="7"/>
    <x v="4"/>
    <s v="Almond Choco"/>
    <n v="3549"/>
    <n v="3"/>
  </r>
  <r>
    <x v="5"/>
    <x v="3"/>
    <s v="Organic Choco Syrup"/>
    <n v="966"/>
    <n v="198"/>
  </r>
  <r>
    <x v="6"/>
    <x v="3"/>
    <s v="Drinking Coco"/>
    <n v="385"/>
    <n v="249"/>
  </r>
  <r>
    <x v="4"/>
    <x v="5"/>
    <s v="Mint Chip Choco"/>
    <n v="2219"/>
    <n v="75"/>
  </r>
  <r>
    <x v="2"/>
    <x v="2"/>
    <s v="Choco Coated Almonds"/>
    <n v="2954"/>
    <n v="189"/>
  </r>
  <r>
    <x v="5"/>
    <x v="2"/>
    <s v="Choco Coated Almonds"/>
    <n v="280"/>
    <n v="87"/>
  </r>
  <r>
    <x v="3"/>
    <x v="2"/>
    <s v="70% Dark Bites"/>
    <n v="6118"/>
    <n v="174"/>
  </r>
  <r>
    <x v="7"/>
    <x v="3"/>
    <s v="Raspberry Choco"/>
    <n v="4802"/>
    <n v="36"/>
  </r>
  <r>
    <x v="2"/>
    <x v="4"/>
    <s v="85% Dark Bars"/>
    <n v="4137"/>
    <n v="60"/>
  </r>
  <r>
    <x v="8"/>
    <x v="1"/>
    <s v="Fruit &amp; Nut Bars"/>
    <n v="2023"/>
    <n v="78"/>
  </r>
  <r>
    <x v="2"/>
    <x v="2"/>
    <s v="70% Dark Bites"/>
    <n v="9051"/>
    <n v="57"/>
  </r>
  <r>
    <x v="2"/>
    <x v="0"/>
    <s v="Caramel Stuffed Bars"/>
    <n v="2919"/>
    <n v="45"/>
  </r>
  <r>
    <x v="3"/>
    <x v="4"/>
    <s v="After Nines"/>
    <n v="5915"/>
    <n v="3"/>
  </r>
  <r>
    <x v="9"/>
    <x v="1"/>
    <s v="Raspberry Choco"/>
    <n v="2562"/>
    <n v="6"/>
  </r>
  <r>
    <x v="6"/>
    <x v="0"/>
    <s v="White Choc"/>
    <n v="8813"/>
    <n v="21"/>
  </r>
  <r>
    <x v="6"/>
    <x v="2"/>
    <s v="Drinking Coco"/>
    <n v="6111"/>
    <n v="3"/>
  </r>
  <r>
    <x v="1"/>
    <x v="5"/>
    <s v="Smooth Sliky Salty"/>
    <n v="3507"/>
    <n v="288"/>
  </r>
  <r>
    <x v="4"/>
    <x v="2"/>
    <s v="Milk Bars"/>
    <n v="4319"/>
    <n v="30"/>
  </r>
  <r>
    <x v="0"/>
    <x v="4"/>
    <s v="Baker's Choco Chips"/>
    <n v="609"/>
    <n v="87"/>
  </r>
  <r>
    <x v="0"/>
    <x v="3"/>
    <s v="Organic Choco Syrup"/>
    <n v="6370"/>
    <n v="30"/>
  </r>
  <r>
    <x v="6"/>
    <x v="4"/>
    <s v="99% Dark &amp; Pure"/>
    <n v="5474"/>
    <n v="168"/>
  </r>
  <r>
    <x v="0"/>
    <x v="2"/>
    <s v="Organic Choco Syrup"/>
    <n v="3164"/>
    <n v="306"/>
  </r>
  <r>
    <x v="4"/>
    <x v="1"/>
    <s v="Almond Choco"/>
    <n v="1302"/>
    <n v="402"/>
  </r>
  <r>
    <x v="8"/>
    <x v="0"/>
    <s v="Caramel Stuffed Bars"/>
    <n v="7308"/>
    <n v="327"/>
  </r>
  <r>
    <x v="0"/>
    <x v="0"/>
    <s v="Organic Choco Syrup"/>
    <n v="6132"/>
    <n v="93"/>
  </r>
  <r>
    <x v="9"/>
    <x v="1"/>
    <s v="50% Dark Bites"/>
    <n v="3472"/>
    <n v="96"/>
  </r>
  <r>
    <x v="1"/>
    <x v="3"/>
    <s v="Drinking Coco"/>
    <n v="9660"/>
    <n v="27"/>
  </r>
  <r>
    <x v="2"/>
    <x v="4"/>
    <s v="Baker's Choco Chips"/>
    <n v="2436"/>
    <n v="99"/>
  </r>
  <r>
    <x v="2"/>
    <x v="4"/>
    <s v="Peanut Butter Cubes"/>
    <n v="9506"/>
    <n v="87"/>
  </r>
  <r>
    <x v="9"/>
    <x v="0"/>
    <s v="Spicy Special Slims"/>
    <n v="245"/>
    <n v="288"/>
  </r>
  <r>
    <x v="1"/>
    <x v="1"/>
    <s v="Orange Choco"/>
    <n v="2702"/>
    <n v="363"/>
  </r>
  <r>
    <x v="9"/>
    <x v="5"/>
    <s v="Eclairs"/>
    <n v="700"/>
    <n v="87"/>
  </r>
  <r>
    <x v="4"/>
    <x v="5"/>
    <s v="Eclairs"/>
    <n v="3759"/>
    <n v="150"/>
  </r>
  <r>
    <x v="7"/>
    <x v="1"/>
    <s v="Eclairs"/>
    <n v="1589"/>
    <n v="303"/>
  </r>
  <r>
    <x v="5"/>
    <x v="1"/>
    <s v="Caramel Stuffed Bars"/>
    <n v="5194"/>
    <n v="288"/>
  </r>
  <r>
    <x v="9"/>
    <x v="2"/>
    <s v="Milk Bars"/>
    <n v="945"/>
    <n v="75"/>
  </r>
  <r>
    <x v="0"/>
    <x v="4"/>
    <s v="Smooth Sliky Salty"/>
    <n v="1988"/>
    <n v="39"/>
  </r>
  <r>
    <x v="4"/>
    <x v="5"/>
    <s v="Choco Coated Almonds"/>
    <n v="6734"/>
    <n v="123"/>
  </r>
  <r>
    <x v="0"/>
    <x v="2"/>
    <s v="Almond Choco"/>
    <n v="217"/>
    <n v="36"/>
  </r>
  <r>
    <x v="6"/>
    <x v="5"/>
    <s v="After Nines"/>
    <n v="6279"/>
    <n v="237"/>
  </r>
  <r>
    <x v="0"/>
    <x v="2"/>
    <s v="Milk Bars"/>
    <n v="4424"/>
    <n v="201"/>
  </r>
  <r>
    <x v="7"/>
    <x v="2"/>
    <s v="Eclairs"/>
    <n v="189"/>
    <n v="48"/>
  </r>
  <r>
    <x v="6"/>
    <x v="1"/>
    <s v="After Nines"/>
    <n v="490"/>
    <n v="84"/>
  </r>
  <r>
    <x v="1"/>
    <x v="0"/>
    <s v="Spicy Special Slims"/>
    <n v="434"/>
    <n v="87"/>
  </r>
  <r>
    <x v="5"/>
    <x v="4"/>
    <s v="70% Dark Bites"/>
    <n v="10129"/>
    <n v="312"/>
  </r>
  <r>
    <x v="8"/>
    <x v="3"/>
    <s v="Caramel Stuffed Bars"/>
    <n v="1652"/>
    <n v="102"/>
  </r>
  <r>
    <x v="1"/>
    <x v="4"/>
    <s v="Spicy Special Slims"/>
    <n v="6433"/>
    <n v="78"/>
  </r>
  <r>
    <x v="8"/>
    <x v="5"/>
    <s v="Fruit &amp; Nut Bars"/>
    <n v="2212"/>
    <n v="117"/>
  </r>
  <r>
    <x v="3"/>
    <x v="1"/>
    <s v="99% Dark &amp; Pure"/>
    <n v="609"/>
    <n v="99"/>
  </r>
  <r>
    <x v="0"/>
    <x v="1"/>
    <s v="85% Dark Bars"/>
    <n v="1638"/>
    <n v="48"/>
  </r>
  <r>
    <x v="5"/>
    <x v="5"/>
    <s v="Raspberry Choco"/>
    <n v="3829"/>
    <n v="24"/>
  </r>
  <r>
    <x v="0"/>
    <x v="3"/>
    <s v="Raspberry Choco"/>
    <n v="5775"/>
    <n v="42"/>
  </r>
  <r>
    <x v="4"/>
    <x v="1"/>
    <s v="Orange Choco"/>
    <n v="1071"/>
    <n v="270"/>
  </r>
  <r>
    <x v="1"/>
    <x v="2"/>
    <s v="Fruit &amp; Nut Bars"/>
    <n v="5019"/>
    <n v="150"/>
  </r>
  <r>
    <x v="7"/>
    <x v="0"/>
    <s v="Raspberry Choco"/>
    <n v="2863"/>
    <n v="42"/>
  </r>
  <r>
    <x v="0"/>
    <x v="1"/>
    <s v="Manuka Honey Choco"/>
    <n v="1617"/>
    <n v="126"/>
  </r>
  <r>
    <x v="4"/>
    <x v="0"/>
    <s v="Baker's Choco Chips"/>
    <n v="6818"/>
    <n v="6"/>
  </r>
  <r>
    <x v="8"/>
    <x v="1"/>
    <s v="Raspberry Choco"/>
    <n v="6657"/>
    <n v="276"/>
  </r>
  <r>
    <x v="8"/>
    <x v="5"/>
    <s v="Eclairs"/>
    <n v="2919"/>
    <n v="93"/>
  </r>
  <r>
    <x v="7"/>
    <x v="2"/>
    <s v="Smooth Sliky Salty"/>
    <n v="3094"/>
    <n v="246"/>
  </r>
  <r>
    <x v="4"/>
    <x v="3"/>
    <s v="85% Dark Bars"/>
    <n v="2989"/>
    <n v="3"/>
  </r>
  <r>
    <x v="1"/>
    <x v="4"/>
    <s v="Organic Choco Syrup"/>
    <n v="2268"/>
    <n v="63"/>
  </r>
  <r>
    <x v="6"/>
    <x v="1"/>
    <s v="Smooth Sliky Salty"/>
    <n v="4753"/>
    <n v="246"/>
  </r>
  <r>
    <x v="7"/>
    <x v="5"/>
    <s v="99% Dark &amp; Pure"/>
    <n v="7511"/>
    <n v="120"/>
  </r>
  <r>
    <x v="7"/>
    <x v="4"/>
    <s v="Smooth Sliky Salty"/>
    <n v="4326"/>
    <n v="348"/>
  </r>
  <r>
    <x v="3"/>
    <x v="5"/>
    <s v="Fruit &amp; Nut Bars"/>
    <n v="4935"/>
    <n v="126"/>
  </r>
  <r>
    <x v="4"/>
    <x v="1"/>
    <s v="70% Dark Bites"/>
    <n v="4781"/>
    <n v="123"/>
  </r>
  <r>
    <x v="6"/>
    <x v="4"/>
    <s v="White Choc"/>
    <n v="7483"/>
    <n v="45"/>
  </r>
  <r>
    <x v="9"/>
    <x v="4"/>
    <s v="Almond Choco"/>
    <n v="6860"/>
    <n v="126"/>
  </r>
  <r>
    <x v="0"/>
    <x v="0"/>
    <s v="Manuka Honey Choco"/>
    <n v="9002"/>
    <n v="72"/>
  </r>
  <r>
    <x v="4"/>
    <x v="2"/>
    <s v="Manuka Honey Choco"/>
    <n v="1400"/>
    <n v="135"/>
  </r>
  <r>
    <x v="9"/>
    <x v="5"/>
    <s v="After Nines"/>
    <n v="4053"/>
    <n v="24"/>
  </r>
  <r>
    <x v="5"/>
    <x v="2"/>
    <s v="Smooth Sliky Salty"/>
    <n v="2149"/>
    <n v="117"/>
  </r>
  <r>
    <x v="8"/>
    <x v="3"/>
    <s v="Manuka Honey Choco"/>
    <n v="3640"/>
    <n v="51"/>
  </r>
  <r>
    <x v="7"/>
    <x v="3"/>
    <s v="Fruit &amp; Nut Bars"/>
    <n v="630"/>
    <n v="36"/>
  </r>
  <r>
    <x v="2"/>
    <x v="1"/>
    <s v="Organic Choco Syrup"/>
    <n v="2429"/>
    <n v="144"/>
  </r>
  <r>
    <x v="2"/>
    <x v="2"/>
    <s v="White Choc"/>
    <n v="2142"/>
    <n v="114"/>
  </r>
  <r>
    <x v="5"/>
    <x v="0"/>
    <s v="70% Dark Bites"/>
    <n v="6454"/>
    <n v="54"/>
  </r>
  <r>
    <x v="5"/>
    <x v="0"/>
    <s v="Mint Chip Choco"/>
    <n v="4487"/>
    <n v="333"/>
  </r>
  <r>
    <x v="8"/>
    <x v="0"/>
    <s v="Almond Choco"/>
    <n v="938"/>
    <n v="366"/>
  </r>
  <r>
    <x v="8"/>
    <x v="4"/>
    <s v="Baker's Choco Chips"/>
    <n v="8841"/>
    <n v="303"/>
  </r>
  <r>
    <x v="7"/>
    <x v="3"/>
    <s v="Peanut Butter Cubes"/>
    <n v="4018"/>
    <n v="126"/>
  </r>
  <r>
    <x v="3"/>
    <x v="0"/>
    <s v="Raspberry Choco"/>
    <n v="714"/>
    <n v="231"/>
  </r>
  <r>
    <x v="2"/>
    <x v="4"/>
    <s v="White Choc"/>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DF41F-70B6-4DFE-A4D8-1ED786013D77}" name="PivotTable1" cacheId="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6:F12" firstHeaderRow="0" firstDataRow="1" firstDataCol="1"/>
  <pivotFields count="6">
    <pivotField showAll="0">
      <items count="11">
        <item h="1" x="7"/>
        <item h="1" x="1"/>
        <item h="1" x="3"/>
        <item h="1" x="5"/>
        <item h="1" x="4"/>
        <item h="1" x="6"/>
        <item h="1" x="8"/>
        <item x="2"/>
        <item h="1" x="9"/>
        <item h="1" x="0"/>
        <item t="default"/>
      </items>
    </pivotField>
    <pivotField axis="axisRow" showAll="0" sortType="ascending">
      <items count="7">
        <item x="4"/>
        <item x="2"/>
        <item x="5"/>
        <item x="0"/>
        <item x="3"/>
        <item x="1"/>
        <item t="default"/>
      </items>
    </pivotField>
    <pivotField showAll="0"/>
    <pivotField dataField="1" numFmtId="164" showAll="0"/>
    <pivotField dataField="1" numFmtId="3" showAll="0"/>
    <pivotField dragToRow="0" dragToCol="0" dragToPage="0" showAll="0" defaultSubtotal="0"/>
  </pivotFields>
  <rowFields count="1">
    <field x="1"/>
  </rowFields>
  <rowItems count="6">
    <i>
      <x/>
    </i>
    <i>
      <x v="1"/>
    </i>
    <i>
      <x v="2"/>
    </i>
    <i>
      <x v="3"/>
    </i>
    <i>
      <x v="4"/>
    </i>
    <i>
      <x v="5"/>
    </i>
  </rowItems>
  <colFields count="1">
    <field x="-2"/>
  </colFields>
  <colItems count="3">
    <i>
      <x/>
    </i>
    <i i="1">
      <x v="1"/>
    </i>
    <i i="2">
      <x v="2"/>
    </i>
  </colItems>
  <dataFields count="3">
    <dataField name="Sum of Amount" fld="3" baseField="0" baseItem="0" numFmtId="164"/>
    <dataField name=" " fld="3" baseField="0" baseItem="0" numFmtId="164"/>
    <dataField name="Sum of Units" fld="4" baseField="0" baseItem="0" numFmtId="3"/>
  </dataFields>
  <formats count="3">
    <format dxfId="39">
      <pivotArea dataOnly="0" labelOnly="1" outline="0" fieldPosition="0">
        <references count="1">
          <reference field="4294967294" count="1">
            <x v="0"/>
          </reference>
        </references>
      </pivotArea>
    </format>
    <format dxfId="38">
      <pivotArea collapsedLevelsAreSubtotals="1" fieldPosition="0">
        <references count="2">
          <reference field="4294967294" count="1" selected="0">
            <x v="0"/>
          </reference>
          <reference field="1" count="0"/>
        </references>
      </pivotArea>
    </format>
    <format dxfId="30">
      <pivotArea dataOnly="0" labelOnly="1" outline="0" fieldPosition="0">
        <references count="1">
          <reference field="4294967294" count="1">
            <x v="0"/>
          </reference>
        </references>
      </pivotArea>
    </format>
  </formats>
  <conditionalFormats count="3">
    <conditionalFormat scope="field" priority="3">
      <pivotAreas count="1">
        <pivotArea outline="0" collapsedLevelsAreSubtotals="1" fieldPosition="0">
          <references count="2">
            <reference field="4294967294" count="1" selected="0">
              <x v="1"/>
            </reference>
            <reference field="1" count="0" selected="0"/>
          </references>
        </pivotArea>
      </pivotAreas>
    </conditionalFormat>
    <conditionalFormat priority="2">
      <pivotAreas count="1">
        <pivotArea type="data" collapsedLevelsAreSubtotals="1" fieldPosition="0">
          <references count="2">
            <reference field="4294967294" count="1" selected="0">
              <x v="1"/>
            </reference>
            <reference field="1" count="1">
              <x v="5"/>
            </reference>
          </references>
        </pivotArea>
      </pivotAreas>
    </conditionalFormat>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CE98C-E092-4DFF-9181-46BD27DAD775}"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26" firstHeaderRow="0"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Sum of Amount" fld="1" baseField="0" baseItem="0"/>
    <dataField name="Sum of Units" fld="2" baseField="0" baseItem="0"/>
    <dataField fld="3" subtotal="count" baseField="0" baseItem="0" numFmtId="171"/>
  </dataField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CA47DE-37D5-4DB1-9BA6-639F5F89FDB4}"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16" firstHeaderRow="1" firstDataRow="1" firstDataCol="1"/>
  <pivotFields count="6">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measureFilter="1"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3" showAll="0"/>
    <pivotField dragToRow="0" dragToCol="0" dragToPage="0" showAll="0" defaultSubtotal="0"/>
  </pivotFields>
  <rowFields count="2">
    <field x="1"/>
    <field x="0"/>
  </rowFields>
  <rowItems count="13">
    <i>
      <x v="4"/>
    </i>
    <i r="1">
      <x/>
    </i>
    <i>
      <x v="3"/>
    </i>
    <i r="1">
      <x v="3"/>
    </i>
    <i>
      <x v="2"/>
    </i>
    <i r="1">
      <x v="5"/>
    </i>
    <i>
      <x v="1"/>
    </i>
    <i r="1">
      <x v="5"/>
    </i>
    <i>
      <x v="5"/>
    </i>
    <i r="1">
      <x v="9"/>
    </i>
    <i>
      <x/>
    </i>
    <i r="1">
      <x v="5"/>
    </i>
    <i t="grand">
      <x/>
    </i>
  </rowItems>
  <colItems count="1">
    <i/>
  </colItems>
  <dataFields count="1">
    <dataField name="Sum of Amount" fld="3" baseField="0" baseItem="0" numFmtId="164"/>
  </dataField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12CC164-3F13-4D65-B2B9-C159B4935B57}" sourceName="Sales Person">
  <pivotTables>
    <pivotTable tabId="6" name="PivotTable1"/>
  </pivotTables>
  <data>
    <tabular pivotCacheId="1834043717">
      <items count="10">
        <i x="7"/>
        <i x="1"/>
        <i x="3"/>
        <i x="5"/>
        <i x="4"/>
        <i x="6"/>
        <i x="8"/>
        <i x="2" s="1"/>
        <i x="9"/>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CF88C889-0F03-498F-9AB6-6CC66C94428A}" cache="Slicer_Sales_Person" caption="Sales Person" columnCount="2"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Y11:Z33" totalsRowShown="0">
  <autoFilter ref="Y11:Z33" xr:uid="{6DAC1E92-D947-4232-891E-65555AD7A47E}"/>
  <tableColumns count="2">
    <tableColumn id="1" xr3:uid="{1B8963D1-E60F-4400-A175-651A513B826F}" name="Product"/>
    <tableColumn id="2" xr3:uid="{1798A7DA-FB9F-46D3-AA0A-B6BCA4A81AC3}" name="Cost per unit"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794D1-8A30-47B2-82CC-04C8B3CC2011}" name="Data" displayName="Data" ref="C11:G311" totalsRowShown="0" headerRowDxfId="55">
  <autoFilter ref="C11:G311" xr:uid="{057794D1-8A30-47B2-82CC-04C8B3CC2011}"/>
  <tableColumns count="5">
    <tableColumn id="1" xr3:uid="{01A6974F-7B9B-4DAC-A88E-C1A408B2C76F}" name="Sales Person"/>
    <tableColumn id="2" xr3:uid="{E0715D31-667D-4706-AE38-B95B81D03B6C}" name="Geography"/>
    <tableColumn id="3" xr3:uid="{A5F6976E-96A5-4B0B-8230-607AF94531DE}" name="Product"/>
    <tableColumn id="4" xr3:uid="{456D0944-DE3C-43B4-BB1D-619FCB6D4665}" name="Amount" dataDxfId="54"/>
    <tableColumn id="5" xr3:uid="{D96BE69C-3938-425A-8C87-3F60B279F0FF}" name="Units"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7F7F7A-FA83-4399-B57B-85BDF841DC36}" name="Table5" displayName="Table5" ref="B3:D11" totalsRowShown="0">
  <autoFilter ref="B3:D11" xr:uid="{927F7F7A-FA83-4399-B57B-85BDF841DC36}"/>
  <tableColumns count="3">
    <tableColumn id="1" xr3:uid="{2654B654-B42C-405E-AE52-B43017410A43}" name="Column1"/>
    <tableColumn id="2" xr3:uid="{DBCEE675-BEF6-4BDC-B477-E18E1BE5C580}" name="Amount"/>
    <tableColumn id="3" xr3:uid="{0271A5DE-F57F-4EE0-A7A0-6ED568B4BF32}" name="Units"/>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4AEE50-DF31-40A2-A66C-A8C52F5E8D41}" name="Data4" displayName="Data4" ref="C5:G305" totalsRowShown="0" headerRowDxfId="52" headerRowBorderDxfId="51">
  <autoFilter ref="C5:G305" xr:uid="{0A4AEE50-DF31-40A2-A66C-A8C52F5E8D41}"/>
  <sortState xmlns:xlrd2="http://schemas.microsoft.com/office/spreadsheetml/2017/richdata2" ref="C6:G305">
    <sortCondition ref="G5:G305"/>
  </sortState>
  <tableColumns count="5">
    <tableColumn id="1" xr3:uid="{849CD48D-6454-4337-B9CD-D6CE8DB544C9}" name="Sales Person" dataDxfId="50"/>
    <tableColumn id="2" xr3:uid="{BAF33555-157D-40E6-B905-B5DEE6C9700D}" name="Geography" dataDxfId="49"/>
    <tableColumn id="3" xr3:uid="{2847795C-996C-4084-B484-0216D3EC2919}" name="Product" dataDxfId="48"/>
    <tableColumn id="4" xr3:uid="{5D3CE190-04C8-48F1-B6D4-A7761F5260A7}" name="Amount" dataDxfId="47"/>
    <tableColumn id="5" xr3:uid="{0CBED81F-53A6-4338-93D7-9FC565E5FB8A}" name="Units" dataDxfId="4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7651F5-5601-4E36-8ED7-807429CA99FF}" name="Table4" displayName="Table4" ref="B4:E10" totalsRowShown="0" tableBorderDxfId="45">
  <autoFilter ref="B4:E10" xr:uid="{FB7651F5-5601-4E36-8ED7-807429CA99FF}"/>
  <sortState xmlns:xlrd2="http://schemas.microsoft.com/office/spreadsheetml/2017/richdata2" ref="B5:E10">
    <sortCondition descending="1" ref="D4:D10"/>
  </sortState>
  <tableColumns count="4">
    <tableColumn id="1" xr3:uid="{02BED502-4F27-4FF2-96E4-F31B40E41A5A}" name="Country " dataDxfId="44"/>
    <tableColumn id="2" xr3:uid="{D875D4D9-7817-43AC-B567-2D39AC7BD660}" name="Amount " dataDxfId="43">
      <calculatedColumnFormula>SUMIFS(Data[Amount],Data[Geography],Table4[[#This Row],[Country ]])</calculatedColumnFormula>
    </tableColumn>
    <tableColumn id="3" xr3:uid="{DE9B8ED5-0910-44C9-8DDA-CBF75261BEE5}" name="." dataDxfId="42">
      <calculatedColumnFormula>SUMIFS(Data[Amount],Data[Geography],Table4[[#This Row],[Country ]])</calculatedColumnFormula>
    </tableColumn>
    <tableColumn id="4" xr3:uid="{E26D31D8-2FE3-4D29-903A-849588314AC7}" name="Units" dataDxfId="41">
      <calculatedColumnFormula>SUMIFS(Data[Units],Data[Geography],Table4[[#This Row],[Country ]])</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D8E3F9-A549-481E-8F4E-C304E9D64FEB}" name="Data7" displayName="Data7" ref="P6:T306" totalsRowShown="0" headerRowDxfId="2">
  <autoFilter ref="P6:T306" xr:uid="{69D8E3F9-A549-481E-8F4E-C304E9D64FEB}"/>
  <tableColumns count="5">
    <tableColumn id="1" xr3:uid="{85F818A3-A647-4565-8652-F297C2072FB7}" name="Sales Person"/>
    <tableColumn id="2" xr3:uid="{8B7C60D9-9A22-41F0-B20E-BE821E9EA7F5}" name="Geography"/>
    <tableColumn id="3" xr3:uid="{77FFB655-EEDE-4FED-B919-65824487F100}" name="Product"/>
    <tableColumn id="4" xr3:uid="{D94F8CA5-D358-40E9-A0A4-86D27F2B03FA}" name="Amount" dataDxfId="1"/>
    <tableColumn id="5" xr3:uid="{770CD9E0-A7CE-41ED-A22A-20D82C19A64E}" name="Uni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Z658"/>
  <sheetViews>
    <sheetView showGridLines="0" zoomScale="108" zoomScaleNormal="145" workbookViewId="0">
      <selection activeCell="C11" sqref="C11:G311"/>
    </sheetView>
  </sheetViews>
  <sheetFormatPr defaultRowHeight="15.05"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11.6640625" customWidth="1"/>
    <col min="10" max="10" width="3.88671875" customWidth="1"/>
    <col min="11" max="11" width="53.88671875" customWidth="1"/>
    <col min="25" max="25" width="21.88671875" bestFit="1" customWidth="1"/>
    <col min="26" max="26" width="14.44140625" customWidth="1"/>
    <col min="31" max="31" width="21.88671875" customWidth="1"/>
  </cols>
  <sheetData>
    <row r="1" spans="1:26" s="2" customFormat="1" ht="52.45" customHeight="1" x14ac:dyDescent="0.3">
      <c r="A1" s="1"/>
      <c r="C1" s="3" t="s">
        <v>42</v>
      </c>
    </row>
    <row r="11" spans="1:26" x14ac:dyDescent="0.3">
      <c r="C11" s="6" t="s">
        <v>11</v>
      </c>
      <c r="D11" s="6" t="s">
        <v>12</v>
      </c>
      <c r="E11" s="6" t="s">
        <v>0</v>
      </c>
      <c r="F11" s="10" t="s">
        <v>1</v>
      </c>
      <c r="G11" s="10" t="s">
        <v>50</v>
      </c>
      <c r="J11" s="9" t="s">
        <v>43</v>
      </c>
      <c r="K11" s="2"/>
      <c r="Y11" t="s">
        <v>0</v>
      </c>
      <c r="Z11" t="s">
        <v>51</v>
      </c>
    </row>
    <row r="12" spans="1:26" x14ac:dyDescent="0.3">
      <c r="C12" t="s">
        <v>40</v>
      </c>
      <c r="D12" t="s">
        <v>37</v>
      </c>
      <c r="E12" t="s">
        <v>30</v>
      </c>
      <c r="F12" s="4">
        <v>1624</v>
      </c>
      <c r="G12" s="5">
        <v>114</v>
      </c>
      <c r="J12" s="7">
        <v>1</v>
      </c>
      <c r="K12" s="8" t="s">
        <v>44</v>
      </c>
      <c r="Y12" t="s">
        <v>13</v>
      </c>
      <c r="Z12" s="11">
        <v>9.33</v>
      </c>
    </row>
    <row r="13" spans="1:26" x14ac:dyDescent="0.3">
      <c r="C13" t="s">
        <v>8</v>
      </c>
      <c r="D13" t="s">
        <v>35</v>
      </c>
      <c r="E13" t="s">
        <v>32</v>
      </c>
      <c r="F13" s="4">
        <v>6706</v>
      </c>
      <c r="G13" s="5">
        <v>459</v>
      </c>
      <c r="J13" s="7">
        <v>2</v>
      </c>
      <c r="K13" s="8" t="s">
        <v>53</v>
      </c>
      <c r="Y13" t="s">
        <v>14</v>
      </c>
      <c r="Z13" s="11">
        <v>11.7</v>
      </c>
    </row>
    <row r="14" spans="1:26" x14ac:dyDescent="0.3">
      <c r="C14" t="s">
        <v>9</v>
      </c>
      <c r="D14" t="s">
        <v>35</v>
      </c>
      <c r="E14" t="s">
        <v>4</v>
      </c>
      <c r="F14" s="4">
        <v>959</v>
      </c>
      <c r="G14" s="5">
        <v>147</v>
      </c>
      <c r="J14" s="7">
        <v>3</v>
      </c>
      <c r="K14" s="8" t="s">
        <v>45</v>
      </c>
      <c r="Y14" t="s">
        <v>4</v>
      </c>
      <c r="Z14" s="11">
        <v>11.88</v>
      </c>
    </row>
    <row r="15" spans="1:26" x14ac:dyDescent="0.3">
      <c r="C15" t="s">
        <v>41</v>
      </c>
      <c r="D15" t="s">
        <v>36</v>
      </c>
      <c r="E15" t="s">
        <v>18</v>
      </c>
      <c r="F15" s="4">
        <v>9632</v>
      </c>
      <c r="G15" s="5">
        <v>288</v>
      </c>
      <c r="J15" s="7">
        <v>4</v>
      </c>
      <c r="K15" s="8" t="s">
        <v>46</v>
      </c>
      <c r="Y15" t="s">
        <v>15</v>
      </c>
      <c r="Z15" s="11">
        <v>11.73</v>
      </c>
    </row>
    <row r="16" spans="1:26" x14ac:dyDescent="0.3">
      <c r="C16" t="s">
        <v>6</v>
      </c>
      <c r="D16" t="s">
        <v>39</v>
      </c>
      <c r="E16" t="s">
        <v>25</v>
      </c>
      <c r="F16" s="4">
        <v>2100</v>
      </c>
      <c r="G16" s="5">
        <v>414</v>
      </c>
      <c r="J16" s="7">
        <v>5</v>
      </c>
      <c r="K16" s="8" t="s">
        <v>54</v>
      </c>
      <c r="Y16" t="s">
        <v>16</v>
      </c>
      <c r="Z16" s="11">
        <v>8.7899999999999991</v>
      </c>
    </row>
    <row r="17" spans="3:26" x14ac:dyDescent="0.3">
      <c r="C17" t="s">
        <v>40</v>
      </c>
      <c r="D17" t="s">
        <v>35</v>
      </c>
      <c r="E17" t="s">
        <v>33</v>
      </c>
      <c r="F17" s="4">
        <v>8869</v>
      </c>
      <c r="G17" s="5">
        <v>432</v>
      </c>
      <c r="J17" s="7">
        <v>6</v>
      </c>
      <c r="K17" s="8" t="s">
        <v>55</v>
      </c>
      <c r="Y17" t="s">
        <v>17</v>
      </c>
      <c r="Z17" s="11">
        <v>3.11</v>
      </c>
    </row>
    <row r="18" spans="3:26" x14ac:dyDescent="0.3">
      <c r="C18" t="s">
        <v>6</v>
      </c>
      <c r="D18" t="s">
        <v>38</v>
      </c>
      <c r="E18" t="s">
        <v>31</v>
      </c>
      <c r="F18" s="4">
        <v>2681</v>
      </c>
      <c r="G18" s="5">
        <v>54</v>
      </c>
      <c r="J18" s="7">
        <v>7</v>
      </c>
      <c r="K18" s="8" t="s">
        <v>49</v>
      </c>
      <c r="Y18" t="s">
        <v>18</v>
      </c>
      <c r="Z18" s="11">
        <v>6.47</v>
      </c>
    </row>
    <row r="19" spans="3:26" x14ac:dyDescent="0.3">
      <c r="C19" t="s">
        <v>8</v>
      </c>
      <c r="D19" t="s">
        <v>35</v>
      </c>
      <c r="E19" t="s">
        <v>22</v>
      </c>
      <c r="F19" s="4">
        <v>5012</v>
      </c>
      <c r="G19" s="5">
        <v>210</v>
      </c>
      <c r="J19" s="7">
        <v>8</v>
      </c>
      <c r="K19" s="8" t="s">
        <v>52</v>
      </c>
      <c r="Y19" t="s">
        <v>19</v>
      </c>
      <c r="Z19" s="11">
        <v>7.64</v>
      </c>
    </row>
    <row r="20" spans="3:26" x14ac:dyDescent="0.3">
      <c r="C20" t="s">
        <v>7</v>
      </c>
      <c r="D20" t="s">
        <v>38</v>
      </c>
      <c r="E20" t="s">
        <v>14</v>
      </c>
      <c r="F20" s="4">
        <v>1281</v>
      </c>
      <c r="G20" s="5">
        <v>75</v>
      </c>
      <c r="J20" s="7">
        <v>9</v>
      </c>
      <c r="K20" s="8" t="s">
        <v>47</v>
      </c>
      <c r="Y20" t="s">
        <v>20</v>
      </c>
      <c r="Z20" s="11">
        <v>10.62</v>
      </c>
    </row>
    <row r="21" spans="3:26" x14ac:dyDescent="0.3">
      <c r="C21" t="s">
        <v>5</v>
      </c>
      <c r="D21" t="s">
        <v>37</v>
      </c>
      <c r="E21" t="s">
        <v>14</v>
      </c>
      <c r="F21" s="4">
        <v>4991</v>
      </c>
      <c r="G21" s="5">
        <v>12</v>
      </c>
      <c r="J21" s="7">
        <v>10</v>
      </c>
      <c r="K21" s="8" t="s">
        <v>48</v>
      </c>
      <c r="Y21" t="s">
        <v>21</v>
      </c>
      <c r="Z21" s="11">
        <v>9</v>
      </c>
    </row>
    <row r="22" spans="3:26" x14ac:dyDescent="0.3">
      <c r="C22" t="s">
        <v>2</v>
      </c>
      <c r="D22" t="s">
        <v>39</v>
      </c>
      <c r="E22" t="s">
        <v>25</v>
      </c>
      <c r="F22" s="4">
        <v>1785</v>
      </c>
      <c r="G22" s="5">
        <v>462</v>
      </c>
      <c r="Y22" t="s">
        <v>22</v>
      </c>
      <c r="Z22" s="11">
        <v>9.77</v>
      </c>
    </row>
    <row r="23" spans="3:26" x14ac:dyDescent="0.3">
      <c r="C23" t="s">
        <v>3</v>
      </c>
      <c r="D23" t="s">
        <v>37</v>
      </c>
      <c r="E23" t="s">
        <v>17</v>
      </c>
      <c r="F23" s="4">
        <v>3983</v>
      </c>
      <c r="G23" s="5">
        <v>144</v>
      </c>
      <c r="Y23" t="s">
        <v>23</v>
      </c>
      <c r="Z23" s="11">
        <v>6.49</v>
      </c>
    </row>
    <row r="24" spans="3:26" x14ac:dyDescent="0.3">
      <c r="C24" t="s">
        <v>9</v>
      </c>
      <c r="D24" t="s">
        <v>38</v>
      </c>
      <c r="E24" t="s">
        <v>16</v>
      </c>
      <c r="F24" s="4">
        <v>2646</v>
      </c>
      <c r="G24" s="5">
        <v>120</v>
      </c>
      <c r="Y24" t="s">
        <v>24</v>
      </c>
      <c r="Z24" s="11">
        <v>4.97</v>
      </c>
    </row>
    <row r="25" spans="3:26" x14ac:dyDescent="0.3">
      <c r="C25" t="s">
        <v>2</v>
      </c>
      <c r="D25" t="s">
        <v>34</v>
      </c>
      <c r="E25" t="s">
        <v>13</v>
      </c>
      <c r="F25" s="4">
        <v>252</v>
      </c>
      <c r="G25" s="5">
        <v>54</v>
      </c>
      <c r="Y25" t="s">
        <v>25</v>
      </c>
      <c r="Z25" s="11">
        <v>13.15</v>
      </c>
    </row>
    <row r="26" spans="3:26" x14ac:dyDescent="0.3">
      <c r="C26" t="s">
        <v>3</v>
      </c>
      <c r="D26" t="s">
        <v>35</v>
      </c>
      <c r="E26" t="s">
        <v>25</v>
      </c>
      <c r="F26" s="4">
        <v>2464</v>
      </c>
      <c r="G26" s="5">
        <v>234</v>
      </c>
      <c r="Y26" t="s">
        <v>26</v>
      </c>
      <c r="Z26" s="11">
        <v>5.6</v>
      </c>
    </row>
    <row r="27" spans="3:26" x14ac:dyDescent="0.3">
      <c r="C27" t="s">
        <v>3</v>
      </c>
      <c r="D27" t="s">
        <v>35</v>
      </c>
      <c r="E27" t="s">
        <v>29</v>
      </c>
      <c r="F27" s="4">
        <v>2114</v>
      </c>
      <c r="G27" s="5">
        <v>66</v>
      </c>
      <c r="Y27" t="s">
        <v>27</v>
      </c>
      <c r="Z27" s="11">
        <v>16.73</v>
      </c>
    </row>
    <row r="28" spans="3:26" x14ac:dyDescent="0.3">
      <c r="C28" t="s">
        <v>6</v>
      </c>
      <c r="D28" t="s">
        <v>37</v>
      </c>
      <c r="E28" t="s">
        <v>31</v>
      </c>
      <c r="F28" s="4">
        <v>7693</v>
      </c>
      <c r="G28" s="5">
        <v>87</v>
      </c>
      <c r="Y28" t="s">
        <v>28</v>
      </c>
      <c r="Z28" s="11">
        <v>10.38</v>
      </c>
    </row>
    <row r="29" spans="3:26" x14ac:dyDescent="0.3">
      <c r="C29" t="s">
        <v>5</v>
      </c>
      <c r="D29" t="s">
        <v>34</v>
      </c>
      <c r="E29" t="s">
        <v>20</v>
      </c>
      <c r="F29" s="4">
        <v>15610</v>
      </c>
      <c r="G29" s="5">
        <v>339</v>
      </c>
      <c r="Y29" t="s">
        <v>29</v>
      </c>
      <c r="Z29" s="11">
        <v>7.16</v>
      </c>
    </row>
    <row r="30" spans="3:26" x14ac:dyDescent="0.3">
      <c r="C30" t="s">
        <v>41</v>
      </c>
      <c r="D30" t="s">
        <v>34</v>
      </c>
      <c r="E30" t="s">
        <v>22</v>
      </c>
      <c r="F30" s="4">
        <v>336</v>
      </c>
      <c r="G30" s="5">
        <v>144</v>
      </c>
      <c r="Y30" t="s">
        <v>30</v>
      </c>
      <c r="Z30" s="11">
        <v>14.49</v>
      </c>
    </row>
    <row r="31" spans="3:26" x14ac:dyDescent="0.3">
      <c r="C31" t="s">
        <v>2</v>
      </c>
      <c r="D31" t="s">
        <v>39</v>
      </c>
      <c r="E31" t="s">
        <v>20</v>
      </c>
      <c r="F31" s="4">
        <v>9443</v>
      </c>
      <c r="G31" s="5">
        <v>162</v>
      </c>
      <c r="Y31" t="s">
        <v>31</v>
      </c>
      <c r="Z31" s="11">
        <v>5.79</v>
      </c>
    </row>
    <row r="32" spans="3:26" x14ac:dyDescent="0.3">
      <c r="C32" t="s">
        <v>9</v>
      </c>
      <c r="D32" t="s">
        <v>34</v>
      </c>
      <c r="E32" t="s">
        <v>23</v>
      </c>
      <c r="F32" s="4">
        <v>8155</v>
      </c>
      <c r="G32" s="5">
        <v>90</v>
      </c>
      <c r="Y32" t="s">
        <v>32</v>
      </c>
      <c r="Z32" s="11">
        <v>8.65</v>
      </c>
    </row>
    <row r="33" spans="3:26" x14ac:dyDescent="0.3">
      <c r="C33" t="s">
        <v>8</v>
      </c>
      <c r="D33" t="s">
        <v>38</v>
      </c>
      <c r="E33" t="s">
        <v>23</v>
      </c>
      <c r="F33" s="4">
        <v>1701</v>
      </c>
      <c r="G33" s="5">
        <v>234</v>
      </c>
      <c r="Y33" t="s">
        <v>33</v>
      </c>
      <c r="Z33" s="11">
        <v>12.37</v>
      </c>
    </row>
    <row r="34" spans="3:26" x14ac:dyDescent="0.3">
      <c r="C34" t="s">
        <v>10</v>
      </c>
      <c r="D34" t="s">
        <v>38</v>
      </c>
      <c r="E34" t="s">
        <v>22</v>
      </c>
      <c r="F34" s="4">
        <v>2205</v>
      </c>
      <c r="G34" s="5">
        <v>141</v>
      </c>
    </row>
    <row r="35" spans="3:26" x14ac:dyDescent="0.3">
      <c r="C35" t="s">
        <v>8</v>
      </c>
      <c r="D35" t="s">
        <v>37</v>
      </c>
      <c r="E35" t="s">
        <v>19</v>
      </c>
      <c r="F35" s="4">
        <v>1771</v>
      </c>
      <c r="G35" s="5">
        <v>204</v>
      </c>
    </row>
    <row r="36" spans="3:26" x14ac:dyDescent="0.3">
      <c r="C36" t="s">
        <v>41</v>
      </c>
      <c r="D36" t="s">
        <v>35</v>
      </c>
      <c r="E36" t="s">
        <v>15</v>
      </c>
      <c r="F36" s="4">
        <v>2114</v>
      </c>
      <c r="G36" s="5">
        <v>186</v>
      </c>
    </row>
    <row r="37" spans="3:26" x14ac:dyDescent="0.3">
      <c r="C37" t="s">
        <v>41</v>
      </c>
      <c r="D37" t="s">
        <v>36</v>
      </c>
      <c r="E37" t="s">
        <v>13</v>
      </c>
      <c r="F37" s="4">
        <v>10311</v>
      </c>
      <c r="G37" s="5">
        <v>231</v>
      </c>
    </row>
    <row r="38" spans="3:26" x14ac:dyDescent="0.3">
      <c r="C38" t="s">
        <v>3</v>
      </c>
      <c r="D38" t="s">
        <v>39</v>
      </c>
      <c r="E38" t="s">
        <v>16</v>
      </c>
      <c r="F38" s="4">
        <v>21</v>
      </c>
      <c r="G38" s="5">
        <v>168</v>
      </c>
    </row>
    <row r="39" spans="3:26" x14ac:dyDescent="0.3">
      <c r="C39" t="s">
        <v>10</v>
      </c>
      <c r="D39" t="s">
        <v>35</v>
      </c>
      <c r="E39" t="s">
        <v>20</v>
      </c>
      <c r="F39" s="4">
        <v>1974</v>
      </c>
      <c r="G39" s="5">
        <v>195</v>
      </c>
    </row>
    <row r="40" spans="3:26" x14ac:dyDescent="0.3">
      <c r="C40" t="s">
        <v>5</v>
      </c>
      <c r="D40" t="s">
        <v>36</v>
      </c>
      <c r="E40" t="s">
        <v>23</v>
      </c>
      <c r="F40" s="4">
        <v>6314</v>
      </c>
      <c r="G40" s="5">
        <v>15</v>
      </c>
    </row>
    <row r="41" spans="3:26" x14ac:dyDescent="0.3">
      <c r="C41" t="s">
        <v>10</v>
      </c>
      <c r="D41" t="s">
        <v>37</v>
      </c>
      <c r="E41" t="s">
        <v>23</v>
      </c>
      <c r="F41" s="4">
        <v>4683</v>
      </c>
      <c r="G41" s="5">
        <v>30</v>
      </c>
    </row>
    <row r="42" spans="3:26" x14ac:dyDescent="0.3">
      <c r="C42" t="s">
        <v>41</v>
      </c>
      <c r="D42" t="s">
        <v>37</v>
      </c>
      <c r="E42" t="s">
        <v>24</v>
      </c>
      <c r="F42" s="4">
        <v>6398</v>
      </c>
      <c r="G42" s="5">
        <v>102</v>
      </c>
    </row>
    <row r="43" spans="3:26" x14ac:dyDescent="0.3">
      <c r="C43" t="s">
        <v>2</v>
      </c>
      <c r="D43" t="s">
        <v>35</v>
      </c>
      <c r="E43" t="s">
        <v>19</v>
      </c>
      <c r="F43" s="4">
        <v>553</v>
      </c>
      <c r="G43" s="5">
        <v>15</v>
      </c>
    </row>
    <row r="44" spans="3:26" x14ac:dyDescent="0.3">
      <c r="C44" t="s">
        <v>8</v>
      </c>
      <c r="D44" t="s">
        <v>39</v>
      </c>
      <c r="E44" t="s">
        <v>30</v>
      </c>
      <c r="F44" s="4">
        <v>7021</v>
      </c>
      <c r="G44" s="5">
        <v>183</v>
      </c>
    </row>
    <row r="45" spans="3:26" x14ac:dyDescent="0.3">
      <c r="C45" t="s">
        <v>40</v>
      </c>
      <c r="D45" t="s">
        <v>39</v>
      </c>
      <c r="E45" t="s">
        <v>22</v>
      </c>
      <c r="F45" s="4">
        <v>5817</v>
      </c>
      <c r="G45" s="5">
        <v>12</v>
      </c>
    </row>
    <row r="46" spans="3:26" x14ac:dyDescent="0.3">
      <c r="C46" t="s">
        <v>41</v>
      </c>
      <c r="D46" t="s">
        <v>39</v>
      </c>
      <c r="E46" t="s">
        <v>14</v>
      </c>
      <c r="F46" s="4">
        <v>3976</v>
      </c>
      <c r="G46" s="5">
        <v>72</v>
      </c>
    </row>
    <row r="47" spans="3:26" x14ac:dyDescent="0.3">
      <c r="C47" t="s">
        <v>6</v>
      </c>
      <c r="D47" t="s">
        <v>38</v>
      </c>
      <c r="E47" t="s">
        <v>27</v>
      </c>
      <c r="F47" s="4">
        <v>1134</v>
      </c>
      <c r="G47" s="5">
        <v>282</v>
      </c>
    </row>
    <row r="48" spans="3:26" x14ac:dyDescent="0.3">
      <c r="C48" t="s">
        <v>2</v>
      </c>
      <c r="D48" t="s">
        <v>39</v>
      </c>
      <c r="E48" t="s">
        <v>28</v>
      </c>
      <c r="F48" s="4">
        <v>6027</v>
      </c>
      <c r="G48" s="5">
        <v>144</v>
      </c>
    </row>
    <row r="49" spans="3:7" x14ac:dyDescent="0.3">
      <c r="C49" t="s">
        <v>6</v>
      </c>
      <c r="D49" t="s">
        <v>37</v>
      </c>
      <c r="E49" t="s">
        <v>16</v>
      </c>
      <c r="F49" s="4">
        <v>1904</v>
      </c>
      <c r="G49" s="5">
        <v>405</v>
      </c>
    </row>
    <row r="50" spans="3:7" x14ac:dyDescent="0.3">
      <c r="C50" t="s">
        <v>7</v>
      </c>
      <c r="D50" t="s">
        <v>34</v>
      </c>
      <c r="E50" t="s">
        <v>32</v>
      </c>
      <c r="F50" s="4">
        <v>3262</v>
      </c>
      <c r="G50" s="5">
        <v>75</v>
      </c>
    </row>
    <row r="51" spans="3:7" x14ac:dyDescent="0.3">
      <c r="C51" t="s">
        <v>40</v>
      </c>
      <c r="D51" t="s">
        <v>34</v>
      </c>
      <c r="E51" t="s">
        <v>27</v>
      </c>
      <c r="F51" s="4">
        <v>2289</v>
      </c>
      <c r="G51" s="5">
        <v>135</v>
      </c>
    </row>
    <row r="52" spans="3:7" x14ac:dyDescent="0.3">
      <c r="C52" t="s">
        <v>5</v>
      </c>
      <c r="D52" t="s">
        <v>34</v>
      </c>
      <c r="E52" t="s">
        <v>27</v>
      </c>
      <c r="F52" s="4">
        <v>6986</v>
      </c>
      <c r="G52" s="5">
        <v>21</v>
      </c>
    </row>
    <row r="53" spans="3:7" x14ac:dyDescent="0.3">
      <c r="C53" t="s">
        <v>2</v>
      </c>
      <c r="D53" t="s">
        <v>38</v>
      </c>
      <c r="E53" t="s">
        <v>23</v>
      </c>
      <c r="F53" s="4">
        <v>4417</v>
      </c>
      <c r="G53" s="5">
        <v>153</v>
      </c>
    </row>
    <row r="54" spans="3:7" x14ac:dyDescent="0.3">
      <c r="C54" t="s">
        <v>6</v>
      </c>
      <c r="D54" t="s">
        <v>34</v>
      </c>
      <c r="E54" t="s">
        <v>15</v>
      </c>
      <c r="F54" s="4">
        <v>1442</v>
      </c>
      <c r="G54" s="5">
        <v>15</v>
      </c>
    </row>
    <row r="55" spans="3:7" x14ac:dyDescent="0.3">
      <c r="C55" t="s">
        <v>3</v>
      </c>
      <c r="D55" t="s">
        <v>35</v>
      </c>
      <c r="E55" t="s">
        <v>14</v>
      </c>
      <c r="F55" s="4">
        <v>2415</v>
      </c>
      <c r="G55" s="5">
        <v>255</v>
      </c>
    </row>
    <row r="56" spans="3:7" x14ac:dyDescent="0.3">
      <c r="C56" t="s">
        <v>2</v>
      </c>
      <c r="D56" t="s">
        <v>37</v>
      </c>
      <c r="E56" t="s">
        <v>19</v>
      </c>
      <c r="F56" s="4">
        <v>238</v>
      </c>
      <c r="G56" s="5">
        <v>18</v>
      </c>
    </row>
    <row r="57" spans="3:7" x14ac:dyDescent="0.3">
      <c r="C57" t="s">
        <v>6</v>
      </c>
      <c r="D57" t="s">
        <v>37</v>
      </c>
      <c r="E57" t="s">
        <v>23</v>
      </c>
      <c r="F57" s="4">
        <v>4949</v>
      </c>
      <c r="G57" s="5">
        <v>189</v>
      </c>
    </row>
    <row r="58" spans="3:7" x14ac:dyDescent="0.3">
      <c r="C58" t="s">
        <v>5</v>
      </c>
      <c r="D58" t="s">
        <v>38</v>
      </c>
      <c r="E58" t="s">
        <v>32</v>
      </c>
      <c r="F58" s="4">
        <v>5075</v>
      </c>
      <c r="G58" s="5">
        <v>21</v>
      </c>
    </row>
    <row r="59" spans="3:7" x14ac:dyDescent="0.3">
      <c r="C59" t="s">
        <v>3</v>
      </c>
      <c r="D59" t="s">
        <v>36</v>
      </c>
      <c r="E59" t="s">
        <v>16</v>
      </c>
      <c r="F59" s="4">
        <v>9198</v>
      </c>
      <c r="G59" s="5">
        <v>36</v>
      </c>
    </row>
    <row r="60" spans="3:7" x14ac:dyDescent="0.3">
      <c r="C60" t="s">
        <v>6</v>
      </c>
      <c r="D60" t="s">
        <v>34</v>
      </c>
      <c r="E60" t="s">
        <v>29</v>
      </c>
      <c r="F60" s="4">
        <v>3339</v>
      </c>
      <c r="G60" s="5">
        <v>75</v>
      </c>
    </row>
    <row r="61" spans="3:7" x14ac:dyDescent="0.3">
      <c r="C61" t="s">
        <v>40</v>
      </c>
      <c r="D61" t="s">
        <v>34</v>
      </c>
      <c r="E61" t="s">
        <v>17</v>
      </c>
      <c r="F61" s="4">
        <v>5019</v>
      </c>
      <c r="G61" s="5">
        <v>156</v>
      </c>
    </row>
    <row r="62" spans="3:7" x14ac:dyDescent="0.3">
      <c r="C62" t="s">
        <v>5</v>
      </c>
      <c r="D62" t="s">
        <v>36</v>
      </c>
      <c r="E62" t="s">
        <v>16</v>
      </c>
      <c r="F62" s="4">
        <v>16184</v>
      </c>
      <c r="G62" s="5">
        <v>39</v>
      </c>
    </row>
    <row r="63" spans="3:7" x14ac:dyDescent="0.3">
      <c r="C63" t="s">
        <v>6</v>
      </c>
      <c r="D63" t="s">
        <v>36</v>
      </c>
      <c r="E63" t="s">
        <v>21</v>
      </c>
      <c r="F63" s="4">
        <v>497</v>
      </c>
      <c r="G63" s="5">
        <v>63</v>
      </c>
    </row>
    <row r="64" spans="3:7" x14ac:dyDescent="0.3">
      <c r="C64" t="s">
        <v>2</v>
      </c>
      <c r="D64" t="s">
        <v>36</v>
      </c>
      <c r="E64" t="s">
        <v>29</v>
      </c>
      <c r="F64" s="4">
        <v>8211</v>
      </c>
      <c r="G64" s="5">
        <v>75</v>
      </c>
    </row>
    <row r="65" spans="3:7" x14ac:dyDescent="0.3">
      <c r="C65" t="s">
        <v>2</v>
      </c>
      <c r="D65" t="s">
        <v>38</v>
      </c>
      <c r="E65" t="s">
        <v>28</v>
      </c>
      <c r="F65" s="4">
        <v>6580</v>
      </c>
      <c r="G65" s="5">
        <v>183</v>
      </c>
    </row>
    <row r="66" spans="3:7" x14ac:dyDescent="0.3">
      <c r="C66" t="s">
        <v>41</v>
      </c>
      <c r="D66" t="s">
        <v>35</v>
      </c>
      <c r="E66" t="s">
        <v>13</v>
      </c>
      <c r="F66" s="4">
        <v>4760</v>
      </c>
      <c r="G66" s="5">
        <v>69</v>
      </c>
    </row>
    <row r="67" spans="3:7" x14ac:dyDescent="0.3">
      <c r="C67" t="s">
        <v>40</v>
      </c>
      <c r="D67" t="s">
        <v>36</v>
      </c>
      <c r="E67" t="s">
        <v>25</v>
      </c>
      <c r="F67" s="4">
        <v>5439</v>
      </c>
      <c r="G67" s="5">
        <v>30</v>
      </c>
    </row>
    <row r="68" spans="3:7" x14ac:dyDescent="0.3">
      <c r="C68" t="s">
        <v>41</v>
      </c>
      <c r="D68" t="s">
        <v>34</v>
      </c>
      <c r="E68" t="s">
        <v>17</v>
      </c>
      <c r="F68" s="4">
        <v>1463</v>
      </c>
      <c r="G68" s="5">
        <v>39</v>
      </c>
    </row>
    <row r="69" spans="3:7" x14ac:dyDescent="0.3">
      <c r="C69" t="s">
        <v>3</v>
      </c>
      <c r="D69" t="s">
        <v>34</v>
      </c>
      <c r="E69" t="s">
        <v>32</v>
      </c>
      <c r="F69" s="4">
        <v>7777</v>
      </c>
      <c r="G69" s="5">
        <v>504</v>
      </c>
    </row>
    <row r="70" spans="3:7" x14ac:dyDescent="0.3">
      <c r="C70" t="s">
        <v>9</v>
      </c>
      <c r="D70" t="s">
        <v>37</v>
      </c>
      <c r="E70" t="s">
        <v>29</v>
      </c>
      <c r="F70" s="4">
        <v>1085</v>
      </c>
      <c r="G70" s="5">
        <v>273</v>
      </c>
    </row>
    <row r="71" spans="3:7" x14ac:dyDescent="0.3">
      <c r="C71" t="s">
        <v>5</v>
      </c>
      <c r="D71" t="s">
        <v>37</v>
      </c>
      <c r="E71" t="s">
        <v>31</v>
      </c>
      <c r="F71" s="4">
        <v>182</v>
      </c>
      <c r="G71" s="5">
        <v>48</v>
      </c>
    </row>
    <row r="72" spans="3:7" x14ac:dyDescent="0.3">
      <c r="C72" t="s">
        <v>6</v>
      </c>
      <c r="D72" t="s">
        <v>34</v>
      </c>
      <c r="E72" t="s">
        <v>27</v>
      </c>
      <c r="F72" s="4">
        <v>4242</v>
      </c>
      <c r="G72" s="5">
        <v>207</v>
      </c>
    </row>
    <row r="73" spans="3:7" x14ac:dyDescent="0.3">
      <c r="C73" t="s">
        <v>6</v>
      </c>
      <c r="D73" t="s">
        <v>36</v>
      </c>
      <c r="E73" t="s">
        <v>32</v>
      </c>
      <c r="F73" s="4">
        <v>6118</v>
      </c>
      <c r="G73" s="5">
        <v>9</v>
      </c>
    </row>
    <row r="74" spans="3:7" x14ac:dyDescent="0.3">
      <c r="C74" t="s">
        <v>10</v>
      </c>
      <c r="D74" t="s">
        <v>36</v>
      </c>
      <c r="E74" t="s">
        <v>23</v>
      </c>
      <c r="F74" s="4">
        <v>2317</v>
      </c>
      <c r="G74" s="5">
        <v>261</v>
      </c>
    </row>
    <row r="75" spans="3:7" x14ac:dyDescent="0.3">
      <c r="C75" t="s">
        <v>6</v>
      </c>
      <c r="D75" t="s">
        <v>38</v>
      </c>
      <c r="E75" t="s">
        <v>16</v>
      </c>
      <c r="F75" s="4">
        <v>938</v>
      </c>
      <c r="G75" s="5">
        <v>6</v>
      </c>
    </row>
    <row r="76" spans="3:7" x14ac:dyDescent="0.3">
      <c r="C76" t="s">
        <v>8</v>
      </c>
      <c r="D76" t="s">
        <v>37</v>
      </c>
      <c r="E76" t="s">
        <v>15</v>
      </c>
      <c r="F76" s="4">
        <v>9709</v>
      </c>
      <c r="G76" s="5">
        <v>30</v>
      </c>
    </row>
    <row r="77" spans="3:7" x14ac:dyDescent="0.3">
      <c r="C77" t="s">
        <v>7</v>
      </c>
      <c r="D77" t="s">
        <v>34</v>
      </c>
      <c r="E77" t="s">
        <v>20</v>
      </c>
      <c r="F77" s="4">
        <v>2205</v>
      </c>
      <c r="G77" s="5">
        <v>138</v>
      </c>
    </row>
    <row r="78" spans="3:7" x14ac:dyDescent="0.3">
      <c r="C78" t="s">
        <v>7</v>
      </c>
      <c r="D78" t="s">
        <v>37</v>
      </c>
      <c r="E78" t="s">
        <v>17</v>
      </c>
      <c r="F78" s="4">
        <v>4487</v>
      </c>
      <c r="G78" s="5">
        <v>111</v>
      </c>
    </row>
    <row r="79" spans="3:7" x14ac:dyDescent="0.3">
      <c r="C79" t="s">
        <v>5</v>
      </c>
      <c r="D79" t="s">
        <v>35</v>
      </c>
      <c r="E79" t="s">
        <v>18</v>
      </c>
      <c r="F79" s="4">
        <v>2415</v>
      </c>
      <c r="G79" s="5">
        <v>15</v>
      </c>
    </row>
    <row r="80" spans="3:7" x14ac:dyDescent="0.3">
      <c r="C80" t="s">
        <v>40</v>
      </c>
      <c r="D80" t="s">
        <v>34</v>
      </c>
      <c r="E80" t="s">
        <v>19</v>
      </c>
      <c r="F80" s="4">
        <v>4018</v>
      </c>
      <c r="G80" s="5">
        <v>162</v>
      </c>
    </row>
    <row r="81" spans="3:7" x14ac:dyDescent="0.3">
      <c r="C81" t="s">
        <v>5</v>
      </c>
      <c r="D81" t="s">
        <v>34</v>
      </c>
      <c r="E81" t="s">
        <v>19</v>
      </c>
      <c r="F81" s="4">
        <v>861</v>
      </c>
      <c r="G81" s="5">
        <v>195</v>
      </c>
    </row>
    <row r="82" spans="3:7" x14ac:dyDescent="0.3">
      <c r="C82" t="s">
        <v>10</v>
      </c>
      <c r="D82" t="s">
        <v>38</v>
      </c>
      <c r="E82" t="s">
        <v>14</v>
      </c>
      <c r="F82" s="4">
        <v>5586</v>
      </c>
      <c r="G82" s="5">
        <v>525</v>
      </c>
    </row>
    <row r="83" spans="3:7" x14ac:dyDescent="0.3">
      <c r="C83" t="s">
        <v>7</v>
      </c>
      <c r="D83" t="s">
        <v>34</v>
      </c>
      <c r="E83" t="s">
        <v>33</v>
      </c>
      <c r="F83" s="4">
        <v>2226</v>
      </c>
      <c r="G83" s="5">
        <v>48</v>
      </c>
    </row>
    <row r="84" spans="3:7" x14ac:dyDescent="0.3">
      <c r="C84" t="s">
        <v>9</v>
      </c>
      <c r="D84" t="s">
        <v>34</v>
      </c>
      <c r="E84" t="s">
        <v>28</v>
      </c>
      <c r="F84" s="4">
        <v>14329</v>
      </c>
      <c r="G84" s="5">
        <v>150</v>
      </c>
    </row>
    <row r="85" spans="3:7" x14ac:dyDescent="0.3">
      <c r="C85" t="s">
        <v>9</v>
      </c>
      <c r="D85" t="s">
        <v>34</v>
      </c>
      <c r="E85" t="s">
        <v>20</v>
      </c>
      <c r="F85" s="4">
        <v>8463</v>
      </c>
      <c r="G85" s="5">
        <v>492</v>
      </c>
    </row>
    <row r="86" spans="3:7" x14ac:dyDescent="0.3">
      <c r="C86" t="s">
        <v>5</v>
      </c>
      <c r="D86" t="s">
        <v>34</v>
      </c>
      <c r="E86" t="s">
        <v>29</v>
      </c>
      <c r="F86" s="4">
        <v>2891</v>
      </c>
      <c r="G86" s="5">
        <v>102</v>
      </c>
    </row>
    <row r="87" spans="3:7" x14ac:dyDescent="0.3">
      <c r="C87" t="s">
        <v>3</v>
      </c>
      <c r="D87" t="s">
        <v>36</v>
      </c>
      <c r="E87" t="s">
        <v>23</v>
      </c>
      <c r="F87" s="4">
        <v>3773</v>
      </c>
      <c r="G87" s="5">
        <v>165</v>
      </c>
    </row>
    <row r="88" spans="3:7" x14ac:dyDescent="0.3">
      <c r="C88" t="s">
        <v>41</v>
      </c>
      <c r="D88" t="s">
        <v>36</v>
      </c>
      <c r="E88" t="s">
        <v>28</v>
      </c>
      <c r="F88" s="4">
        <v>854</v>
      </c>
      <c r="G88" s="5">
        <v>309</v>
      </c>
    </row>
    <row r="89" spans="3:7" x14ac:dyDescent="0.3">
      <c r="C89" t="s">
        <v>6</v>
      </c>
      <c r="D89" t="s">
        <v>36</v>
      </c>
      <c r="E89" t="s">
        <v>17</v>
      </c>
      <c r="F89" s="4">
        <v>4970</v>
      </c>
      <c r="G89" s="5">
        <v>156</v>
      </c>
    </row>
    <row r="90" spans="3:7" x14ac:dyDescent="0.3">
      <c r="C90" t="s">
        <v>9</v>
      </c>
      <c r="D90" t="s">
        <v>35</v>
      </c>
      <c r="E90" t="s">
        <v>26</v>
      </c>
      <c r="F90" s="4">
        <v>98</v>
      </c>
      <c r="G90" s="5">
        <v>159</v>
      </c>
    </row>
    <row r="91" spans="3:7" x14ac:dyDescent="0.3">
      <c r="C91" t="s">
        <v>5</v>
      </c>
      <c r="D91" t="s">
        <v>35</v>
      </c>
      <c r="E91" t="s">
        <v>15</v>
      </c>
      <c r="F91" s="4">
        <v>13391</v>
      </c>
      <c r="G91" s="5">
        <v>201</v>
      </c>
    </row>
    <row r="92" spans="3:7" x14ac:dyDescent="0.3">
      <c r="C92" t="s">
        <v>8</v>
      </c>
      <c r="D92" t="s">
        <v>39</v>
      </c>
      <c r="E92" t="s">
        <v>31</v>
      </c>
      <c r="F92" s="4">
        <v>8890</v>
      </c>
      <c r="G92" s="5">
        <v>210</v>
      </c>
    </row>
    <row r="93" spans="3:7" x14ac:dyDescent="0.3">
      <c r="C93" t="s">
        <v>2</v>
      </c>
      <c r="D93" t="s">
        <v>38</v>
      </c>
      <c r="E93" t="s">
        <v>13</v>
      </c>
      <c r="F93" s="4">
        <v>56</v>
      </c>
      <c r="G93" s="5">
        <v>51</v>
      </c>
    </row>
    <row r="94" spans="3:7" x14ac:dyDescent="0.3">
      <c r="C94" t="s">
        <v>3</v>
      </c>
      <c r="D94" t="s">
        <v>36</v>
      </c>
      <c r="E94" t="s">
        <v>25</v>
      </c>
      <c r="F94" s="4">
        <v>3339</v>
      </c>
      <c r="G94" s="5">
        <v>39</v>
      </c>
    </row>
    <row r="95" spans="3:7" x14ac:dyDescent="0.3">
      <c r="C95" t="s">
        <v>10</v>
      </c>
      <c r="D95" t="s">
        <v>35</v>
      </c>
      <c r="E95" t="s">
        <v>18</v>
      </c>
      <c r="F95" s="4">
        <v>3808</v>
      </c>
      <c r="G95" s="5">
        <v>279</v>
      </c>
    </row>
    <row r="96" spans="3:7" x14ac:dyDescent="0.3">
      <c r="C96" t="s">
        <v>10</v>
      </c>
      <c r="D96" t="s">
        <v>38</v>
      </c>
      <c r="E96" t="s">
        <v>13</v>
      </c>
      <c r="F96" s="4">
        <v>63</v>
      </c>
      <c r="G96" s="5">
        <v>123</v>
      </c>
    </row>
    <row r="97" spans="3:7" x14ac:dyDescent="0.3">
      <c r="C97" t="s">
        <v>2</v>
      </c>
      <c r="D97" t="s">
        <v>39</v>
      </c>
      <c r="E97" t="s">
        <v>27</v>
      </c>
      <c r="F97" s="4">
        <v>7812</v>
      </c>
      <c r="G97" s="5">
        <v>81</v>
      </c>
    </row>
    <row r="98" spans="3:7" x14ac:dyDescent="0.3">
      <c r="C98" t="s">
        <v>40</v>
      </c>
      <c r="D98" t="s">
        <v>37</v>
      </c>
      <c r="E98" t="s">
        <v>19</v>
      </c>
      <c r="F98" s="4">
        <v>7693</v>
      </c>
      <c r="G98" s="5">
        <v>21</v>
      </c>
    </row>
    <row r="99" spans="3:7" x14ac:dyDescent="0.3">
      <c r="C99" t="s">
        <v>3</v>
      </c>
      <c r="D99" t="s">
        <v>36</v>
      </c>
      <c r="E99" t="s">
        <v>28</v>
      </c>
      <c r="F99" s="4">
        <v>973</v>
      </c>
      <c r="G99" s="5">
        <v>162</v>
      </c>
    </row>
    <row r="100" spans="3:7" x14ac:dyDescent="0.3">
      <c r="C100" t="s">
        <v>10</v>
      </c>
      <c r="D100" t="s">
        <v>35</v>
      </c>
      <c r="E100" t="s">
        <v>21</v>
      </c>
      <c r="F100" s="4">
        <v>567</v>
      </c>
      <c r="G100" s="5">
        <v>228</v>
      </c>
    </row>
    <row r="101" spans="3:7" x14ac:dyDescent="0.3">
      <c r="C101" t="s">
        <v>10</v>
      </c>
      <c r="D101" t="s">
        <v>36</v>
      </c>
      <c r="E101" t="s">
        <v>29</v>
      </c>
      <c r="F101" s="4">
        <v>2471</v>
      </c>
      <c r="G101" s="5">
        <v>342</v>
      </c>
    </row>
    <row r="102" spans="3:7" x14ac:dyDescent="0.3">
      <c r="C102" t="s">
        <v>5</v>
      </c>
      <c r="D102" t="s">
        <v>38</v>
      </c>
      <c r="E102" t="s">
        <v>13</v>
      </c>
      <c r="F102" s="4">
        <v>7189</v>
      </c>
      <c r="G102" s="5">
        <v>54</v>
      </c>
    </row>
    <row r="103" spans="3:7" x14ac:dyDescent="0.3">
      <c r="C103" t="s">
        <v>41</v>
      </c>
      <c r="D103" t="s">
        <v>35</v>
      </c>
      <c r="E103" t="s">
        <v>28</v>
      </c>
      <c r="F103" s="4">
        <v>7455</v>
      </c>
      <c r="G103" s="5">
        <v>216</v>
      </c>
    </row>
    <row r="104" spans="3:7" x14ac:dyDescent="0.3">
      <c r="C104" t="s">
        <v>3</v>
      </c>
      <c r="D104" t="s">
        <v>34</v>
      </c>
      <c r="E104" t="s">
        <v>26</v>
      </c>
      <c r="F104" s="4">
        <v>3108</v>
      </c>
      <c r="G104" s="5">
        <v>54</v>
      </c>
    </row>
    <row r="105" spans="3:7" x14ac:dyDescent="0.3">
      <c r="C105" t="s">
        <v>6</v>
      </c>
      <c r="D105" t="s">
        <v>38</v>
      </c>
      <c r="E105" t="s">
        <v>25</v>
      </c>
      <c r="F105" s="4">
        <v>469</v>
      </c>
      <c r="G105" s="5">
        <v>75</v>
      </c>
    </row>
    <row r="106" spans="3:7" x14ac:dyDescent="0.3">
      <c r="C106" t="s">
        <v>9</v>
      </c>
      <c r="D106" t="s">
        <v>37</v>
      </c>
      <c r="E106" t="s">
        <v>23</v>
      </c>
      <c r="F106" s="4">
        <v>2737</v>
      </c>
      <c r="G106" s="5">
        <v>93</v>
      </c>
    </row>
    <row r="107" spans="3:7" x14ac:dyDescent="0.3">
      <c r="C107" t="s">
        <v>9</v>
      </c>
      <c r="D107" t="s">
        <v>37</v>
      </c>
      <c r="E107" t="s">
        <v>25</v>
      </c>
      <c r="F107" s="4">
        <v>4305</v>
      </c>
      <c r="G107" s="5">
        <v>156</v>
      </c>
    </row>
    <row r="108" spans="3:7" x14ac:dyDescent="0.3">
      <c r="C108" t="s">
        <v>9</v>
      </c>
      <c r="D108" t="s">
        <v>38</v>
      </c>
      <c r="E108" t="s">
        <v>17</v>
      </c>
      <c r="F108" s="4">
        <v>2408</v>
      </c>
      <c r="G108" s="5">
        <v>9</v>
      </c>
    </row>
    <row r="109" spans="3:7" x14ac:dyDescent="0.3">
      <c r="C109" t="s">
        <v>3</v>
      </c>
      <c r="D109" t="s">
        <v>36</v>
      </c>
      <c r="E109" t="s">
        <v>19</v>
      </c>
      <c r="F109" s="4">
        <v>1281</v>
      </c>
      <c r="G109" s="5">
        <v>18</v>
      </c>
    </row>
    <row r="110" spans="3:7" x14ac:dyDescent="0.3">
      <c r="C110" t="s">
        <v>40</v>
      </c>
      <c r="D110" t="s">
        <v>35</v>
      </c>
      <c r="E110" t="s">
        <v>32</v>
      </c>
      <c r="F110" s="4">
        <v>12348</v>
      </c>
      <c r="G110" s="5">
        <v>234</v>
      </c>
    </row>
    <row r="111" spans="3:7" x14ac:dyDescent="0.3">
      <c r="C111" t="s">
        <v>3</v>
      </c>
      <c r="D111" t="s">
        <v>34</v>
      </c>
      <c r="E111" t="s">
        <v>28</v>
      </c>
      <c r="F111" s="4">
        <v>3689</v>
      </c>
      <c r="G111" s="5">
        <v>312</v>
      </c>
    </row>
    <row r="112" spans="3:7" x14ac:dyDescent="0.3">
      <c r="C112" t="s">
        <v>7</v>
      </c>
      <c r="D112" t="s">
        <v>36</v>
      </c>
      <c r="E112" t="s">
        <v>19</v>
      </c>
      <c r="F112" s="4">
        <v>2870</v>
      </c>
      <c r="G112" s="5">
        <v>300</v>
      </c>
    </row>
    <row r="113" spans="3:7" x14ac:dyDescent="0.3">
      <c r="C113" t="s">
        <v>2</v>
      </c>
      <c r="D113" t="s">
        <v>36</v>
      </c>
      <c r="E113" t="s">
        <v>27</v>
      </c>
      <c r="F113" s="4">
        <v>798</v>
      </c>
      <c r="G113" s="5">
        <v>519</v>
      </c>
    </row>
    <row r="114" spans="3:7" x14ac:dyDescent="0.3">
      <c r="C114" t="s">
        <v>41</v>
      </c>
      <c r="D114" t="s">
        <v>37</v>
      </c>
      <c r="E114" t="s">
        <v>21</v>
      </c>
      <c r="F114" s="4">
        <v>2933</v>
      </c>
      <c r="G114" s="5">
        <v>9</v>
      </c>
    </row>
    <row r="115" spans="3:7" x14ac:dyDescent="0.3">
      <c r="C115" t="s">
        <v>5</v>
      </c>
      <c r="D115" t="s">
        <v>35</v>
      </c>
      <c r="E115" t="s">
        <v>4</v>
      </c>
      <c r="F115" s="4">
        <v>2744</v>
      </c>
      <c r="G115" s="5">
        <v>9</v>
      </c>
    </row>
    <row r="116" spans="3:7" x14ac:dyDescent="0.3">
      <c r="C116" t="s">
        <v>40</v>
      </c>
      <c r="D116" t="s">
        <v>36</v>
      </c>
      <c r="E116" t="s">
        <v>33</v>
      </c>
      <c r="F116" s="4">
        <v>9772</v>
      </c>
      <c r="G116" s="5">
        <v>90</v>
      </c>
    </row>
    <row r="117" spans="3:7" x14ac:dyDescent="0.3">
      <c r="C117" t="s">
        <v>7</v>
      </c>
      <c r="D117" t="s">
        <v>34</v>
      </c>
      <c r="E117" t="s">
        <v>25</v>
      </c>
      <c r="F117" s="4">
        <v>1568</v>
      </c>
      <c r="G117" s="5">
        <v>96</v>
      </c>
    </row>
    <row r="118" spans="3:7" x14ac:dyDescent="0.3">
      <c r="C118" t="s">
        <v>2</v>
      </c>
      <c r="D118" t="s">
        <v>36</v>
      </c>
      <c r="E118" t="s">
        <v>16</v>
      </c>
      <c r="F118" s="4">
        <v>11417</v>
      </c>
      <c r="G118" s="5">
        <v>21</v>
      </c>
    </row>
    <row r="119" spans="3:7" x14ac:dyDescent="0.3">
      <c r="C119" t="s">
        <v>40</v>
      </c>
      <c r="D119" t="s">
        <v>34</v>
      </c>
      <c r="E119" t="s">
        <v>26</v>
      </c>
      <c r="F119" s="4">
        <v>6748</v>
      </c>
      <c r="G119" s="5">
        <v>48</v>
      </c>
    </row>
    <row r="120" spans="3:7" x14ac:dyDescent="0.3">
      <c r="C120" t="s">
        <v>10</v>
      </c>
      <c r="D120" t="s">
        <v>36</v>
      </c>
      <c r="E120" t="s">
        <v>27</v>
      </c>
      <c r="F120" s="4">
        <v>1407</v>
      </c>
      <c r="G120" s="5">
        <v>72</v>
      </c>
    </row>
    <row r="121" spans="3:7" x14ac:dyDescent="0.3">
      <c r="C121" t="s">
        <v>8</v>
      </c>
      <c r="D121" t="s">
        <v>35</v>
      </c>
      <c r="E121" t="s">
        <v>29</v>
      </c>
      <c r="F121" s="4">
        <v>2023</v>
      </c>
      <c r="G121" s="5">
        <v>168</v>
      </c>
    </row>
    <row r="122" spans="3:7" x14ac:dyDescent="0.3">
      <c r="C122" t="s">
        <v>5</v>
      </c>
      <c r="D122" t="s">
        <v>39</v>
      </c>
      <c r="E122" t="s">
        <v>26</v>
      </c>
      <c r="F122" s="4">
        <v>5236</v>
      </c>
      <c r="G122" s="5">
        <v>51</v>
      </c>
    </row>
    <row r="123" spans="3:7" x14ac:dyDescent="0.3">
      <c r="C123" t="s">
        <v>41</v>
      </c>
      <c r="D123" t="s">
        <v>36</v>
      </c>
      <c r="E123" t="s">
        <v>19</v>
      </c>
      <c r="F123" s="4">
        <v>1925</v>
      </c>
      <c r="G123" s="5">
        <v>192</v>
      </c>
    </row>
    <row r="124" spans="3:7" x14ac:dyDescent="0.3">
      <c r="C124" t="s">
        <v>7</v>
      </c>
      <c r="D124" t="s">
        <v>37</v>
      </c>
      <c r="E124" t="s">
        <v>14</v>
      </c>
      <c r="F124" s="4">
        <v>6608</v>
      </c>
      <c r="G124" s="5">
        <v>225</v>
      </c>
    </row>
    <row r="125" spans="3:7" x14ac:dyDescent="0.3">
      <c r="C125" t="s">
        <v>6</v>
      </c>
      <c r="D125" t="s">
        <v>34</v>
      </c>
      <c r="E125" t="s">
        <v>26</v>
      </c>
      <c r="F125" s="4">
        <v>8008</v>
      </c>
      <c r="G125" s="5">
        <v>456</v>
      </c>
    </row>
    <row r="126" spans="3:7" x14ac:dyDescent="0.3">
      <c r="C126" t="s">
        <v>10</v>
      </c>
      <c r="D126" t="s">
        <v>34</v>
      </c>
      <c r="E126" t="s">
        <v>25</v>
      </c>
      <c r="F126" s="4">
        <v>1428</v>
      </c>
      <c r="G126" s="5">
        <v>93</v>
      </c>
    </row>
    <row r="127" spans="3:7" x14ac:dyDescent="0.3">
      <c r="C127" t="s">
        <v>6</v>
      </c>
      <c r="D127" t="s">
        <v>34</v>
      </c>
      <c r="E127" t="s">
        <v>4</v>
      </c>
      <c r="F127" s="4">
        <v>525</v>
      </c>
      <c r="G127" s="5">
        <v>48</v>
      </c>
    </row>
    <row r="128" spans="3:7" x14ac:dyDescent="0.3">
      <c r="C128" t="s">
        <v>6</v>
      </c>
      <c r="D128" t="s">
        <v>37</v>
      </c>
      <c r="E128" t="s">
        <v>18</v>
      </c>
      <c r="F128" s="4">
        <v>1505</v>
      </c>
      <c r="G128" s="5">
        <v>102</v>
      </c>
    </row>
    <row r="129" spans="3:7" x14ac:dyDescent="0.3">
      <c r="C129" t="s">
        <v>7</v>
      </c>
      <c r="D129" t="s">
        <v>35</v>
      </c>
      <c r="E129" t="s">
        <v>30</v>
      </c>
      <c r="F129" s="4">
        <v>6755</v>
      </c>
      <c r="G129" s="5">
        <v>252</v>
      </c>
    </row>
    <row r="130" spans="3:7" x14ac:dyDescent="0.3">
      <c r="C130" t="s">
        <v>2</v>
      </c>
      <c r="D130" t="s">
        <v>37</v>
      </c>
      <c r="E130" t="s">
        <v>18</v>
      </c>
      <c r="F130" s="4">
        <v>11571</v>
      </c>
      <c r="G130" s="5">
        <v>138</v>
      </c>
    </row>
    <row r="131" spans="3:7" x14ac:dyDescent="0.3">
      <c r="C131" t="s">
        <v>40</v>
      </c>
      <c r="D131" t="s">
        <v>38</v>
      </c>
      <c r="E131" t="s">
        <v>25</v>
      </c>
      <c r="F131" s="4">
        <v>2541</v>
      </c>
      <c r="G131" s="5">
        <v>90</v>
      </c>
    </row>
    <row r="132" spans="3:7" x14ac:dyDescent="0.3">
      <c r="C132" t="s">
        <v>41</v>
      </c>
      <c r="D132" t="s">
        <v>37</v>
      </c>
      <c r="E132" t="s">
        <v>30</v>
      </c>
      <c r="F132" s="4">
        <v>1526</v>
      </c>
      <c r="G132" s="5">
        <v>240</v>
      </c>
    </row>
    <row r="133" spans="3:7" x14ac:dyDescent="0.3">
      <c r="C133" t="s">
        <v>40</v>
      </c>
      <c r="D133" t="s">
        <v>38</v>
      </c>
      <c r="E133" t="s">
        <v>4</v>
      </c>
      <c r="F133" s="4">
        <v>6125</v>
      </c>
      <c r="G133" s="5">
        <v>102</v>
      </c>
    </row>
    <row r="134" spans="3:7" x14ac:dyDescent="0.3">
      <c r="C134" t="s">
        <v>41</v>
      </c>
      <c r="D134" t="s">
        <v>35</v>
      </c>
      <c r="E134" t="s">
        <v>27</v>
      </c>
      <c r="F134" s="4">
        <v>847</v>
      </c>
      <c r="G134" s="5">
        <v>129</v>
      </c>
    </row>
    <row r="135" spans="3:7" x14ac:dyDescent="0.3">
      <c r="C135" t="s">
        <v>8</v>
      </c>
      <c r="D135" t="s">
        <v>35</v>
      </c>
      <c r="E135" t="s">
        <v>27</v>
      </c>
      <c r="F135" s="4">
        <v>4753</v>
      </c>
      <c r="G135" s="5">
        <v>300</v>
      </c>
    </row>
    <row r="136" spans="3:7" x14ac:dyDescent="0.3">
      <c r="C136" t="s">
        <v>6</v>
      </c>
      <c r="D136" t="s">
        <v>38</v>
      </c>
      <c r="E136" t="s">
        <v>33</v>
      </c>
      <c r="F136" s="4">
        <v>959</v>
      </c>
      <c r="G136" s="5">
        <v>135</v>
      </c>
    </row>
    <row r="137" spans="3:7" x14ac:dyDescent="0.3">
      <c r="C137" t="s">
        <v>7</v>
      </c>
      <c r="D137" t="s">
        <v>35</v>
      </c>
      <c r="E137" t="s">
        <v>24</v>
      </c>
      <c r="F137" s="4">
        <v>2793</v>
      </c>
      <c r="G137" s="5">
        <v>114</v>
      </c>
    </row>
    <row r="138" spans="3:7" x14ac:dyDescent="0.3">
      <c r="C138" t="s">
        <v>7</v>
      </c>
      <c r="D138" t="s">
        <v>35</v>
      </c>
      <c r="E138" t="s">
        <v>14</v>
      </c>
      <c r="F138" s="4">
        <v>4606</v>
      </c>
      <c r="G138" s="5">
        <v>63</v>
      </c>
    </row>
    <row r="139" spans="3:7" x14ac:dyDescent="0.3">
      <c r="C139" t="s">
        <v>7</v>
      </c>
      <c r="D139" t="s">
        <v>36</v>
      </c>
      <c r="E139" t="s">
        <v>29</v>
      </c>
      <c r="F139" s="4">
        <v>5551</v>
      </c>
      <c r="G139" s="5">
        <v>252</v>
      </c>
    </row>
    <row r="140" spans="3:7" x14ac:dyDescent="0.3">
      <c r="C140" t="s">
        <v>10</v>
      </c>
      <c r="D140" t="s">
        <v>36</v>
      </c>
      <c r="E140" t="s">
        <v>32</v>
      </c>
      <c r="F140" s="4">
        <v>6657</v>
      </c>
      <c r="G140" s="5">
        <v>303</v>
      </c>
    </row>
    <row r="141" spans="3:7" x14ac:dyDescent="0.3">
      <c r="C141" t="s">
        <v>7</v>
      </c>
      <c r="D141" t="s">
        <v>39</v>
      </c>
      <c r="E141" t="s">
        <v>17</v>
      </c>
      <c r="F141" s="4">
        <v>4438</v>
      </c>
      <c r="G141" s="5">
        <v>246</v>
      </c>
    </row>
    <row r="142" spans="3:7" x14ac:dyDescent="0.3">
      <c r="C142" t="s">
        <v>8</v>
      </c>
      <c r="D142" t="s">
        <v>38</v>
      </c>
      <c r="E142" t="s">
        <v>22</v>
      </c>
      <c r="F142" s="4">
        <v>168</v>
      </c>
      <c r="G142" s="5">
        <v>84</v>
      </c>
    </row>
    <row r="143" spans="3:7" x14ac:dyDescent="0.3">
      <c r="C143" t="s">
        <v>7</v>
      </c>
      <c r="D143" t="s">
        <v>34</v>
      </c>
      <c r="E143" t="s">
        <v>17</v>
      </c>
      <c r="F143" s="4">
        <v>7777</v>
      </c>
      <c r="G143" s="5">
        <v>39</v>
      </c>
    </row>
    <row r="144" spans="3:7" x14ac:dyDescent="0.3">
      <c r="C144" t="s">
        <v>5</v>
      </c>
      <c r="D144" t="s">
        <v>36</v>
      </c>
      <c r="E144" t="s">
        <v>17</v>
      </c>
      <c r="F144" s="4">
        <v>3339</v>
      </c>
      <c r="G144" s="5">
        <v>348</v>
      </c>
    </row>
    <row r="145" spans="3:7" x14ac:dyDescent="0.3">
      <c r="C145" t="s">
        <v>7</v>
      </c>
      <c r="D145" t="s">
        <v>37</v>
      </c>
      <c r="E145" t="s">
        <v>33</v>
      </c>
      <c r="F145" s="4">
        <v>6391</v>
      </c>
      <c r="G145" s="5">
        <v>48</v>
      </c>
    </row>
    <row r="146" spans="3:7" x14ac:dyDescent="0.3">
      <c r="C146" t="s">
        <v>5</v>
      </c>
      <c r="D146" t="s">
        <v>37</v>
      </c>
      <c r="E146" t="s">
        <v>22</v>
      </c>
      <c r="F146" s="4">
        <v>518</v>
      </c>
      <c r="G146" s="5">
        <v>75</v>
      </c>
    </row>
    <row r="147" spans="3:7" x14ac:dyDescent="0.3">
      <c r="C147" t="s">
        <v>7</v>
      </c>
      <c r="D147" t="s">
        <v>38</v>
      </c>
      <c r="E147" t="s">
        <v>28</v>
      </c>
      <c r="F147" s="4">
        <v>5677</v>
      </c>
      <c r="G147" s="5">
        <v>258</v>
      </c>
    </row>
    <row r="148" spans="3:7" x14ac:dyDescent="0.3">
      <c r="C148" t="s">
        <v>6</v>
      </c>
      <c r="D148" t="s">
        <v>39</v>
      </c>
      <c r="E148" t="s">
        <v>17</v>
      </c>
      <c r="F148" s="4">
        <v>6048</v>
      </c>
      <c r="G148" s="5">
        <v>27</v>
      </c>
    </row>
    <row r="149" spans="3:7" x14ac:dyDescent="0.3">
      <c r="C149" t="s">
        <v>8</v>
      </c>
      <c r="D149" t="s">
        <v>38</v>
      </c>
      <c r="E149" t="s">
        <v>32</v>
      </c>
      <c r="F149" s="4">
        <v>3752</v>
      </c>
      <c r="G149" s="5">
        <v>213</v>
      </c>
    </row>
    <row r="150" spans="3:7" x14ac:dyDescent="0.3">
      <c r="C150" t="s">
        <v>5</v>
      </c>
      <c r="D150" t="s">
        <v>35</v>
      </c>
      <c r="E150" t="s">
        <v>29</v>
      </c>
      <c r="F150" s="4">
        <v>4480</v>
      </c>
      <c r="G150" s="5">
        <v>357</v>
      </c>
    </row>
    <row r="151" spans="3:7" x14ac:dyDescent="0.3">
      <c r="C151" t="s">
        <v>9</v>
      </c>
      <c r="D151" t="s">
        <v>37</v>
      </c>
      <c r="E151" t="s">
        <v>4</v>
      </c>
      <c r="F151" s="4">
        <v>259</v>
      </c>
      <c r="G151" s="5">
        <v>207</v>
      </c>
    </row>
    <row r="152" spans="3:7" x14ac:dyDescent="0.3">
      <c r="C152" t="s">
        <v>8</v>
      </c>
      <c r="D152" t="s">
        <v>37</v>
      </c>
      <c r="E152" t="s">
        <v>30</v>
      </c>
      <c r="F152" s="4">
        <v>42</v>
      </c>
      <c r="G152" s="5">
        <v>150</v>
      </c>
    </row>
    <row r="153" spans="3:7" x14ac:dyDescent="0.3">
      <c r="C153" t="s">
        <v>41</v>
      </c>
      <c r="D153" t="s">
        <v>36</v>
      </c>
      <c r="E153" t="s">
        <v>26</v>
      </c>
      <c r="F153" s="4">
        <v>98</v>
      </c>
      <c r="G153" s="5">
        <v>204</v>
      </c>
    </row>
    <row r="154" spans="3:7" x14ac:dyDescent="0.3">
      <c r="C154" t="s">
        <v>7</v>
      </c>
      <c r="D154" t="s">
        <v>35</v>
      </c>
      <c r="E154" t="s">
        <v>27</v>
      </c>
      <c r="F154" s="4">
        <v>2478</v>
      </c>
      <c r="G154" s="5">
        <v>21</v>
      </c>
    </row>
    <row r="155" spans="3:7" x14ac:dyDescent="0.3">
      <c r="C155" t="s">
        <v>41</v>
      </c>
      <c r="D155" t="s">
        <v>34</v>
      </c>
      <c r="E155" t="s">
        <v>33</v>
      </c>
      <c r="F155" s="4">
        <v>7847</v>
      </c>
      <c r="G155" s="5">
        <v>174</v>
      </c>
    </row>
    <row r="156" spans="3:7" x14ac:dyDescent="0.3">
      <c r="C156" t="s">
        <v>2</v>
      </c>
      <c r="D156" t="s">
        <v>37</v>
      </c>
      <c r="E156" t="s">
        <v>17</v>
      </c>
      <c r="F156" s="4">
        <v>9926</v>
      </c>
      <c r="G156" s="5">
        <v>201</v>
      </c>
    </row>
    <row r="157" spans="3:7" x14ac:dyDescent="0.3">
      <c r="C157" t="s">
        <v>8</v>
      </c>
      <c r="D157" t="s">
        <v>38</v>
      </c>
      <c r="E157" t="s">
        <v>13</v>
      </c>
      <c r="F157" s="4">
        <v>819</v>
      </c>
      <c r="G157" s="5">
        <v>510</v>
      </c>
    </row>
    <row r="158" spans="3:7" x14ac:dyDescent="0.3">
      <c r="C158" t="s">
        <v>6</v>
      </c>
      <c r="D158" t="s">
        <v>39</v>
      </c>
      <c r="E158" t="s">
        <v>29</v>
      </c>
      <c r="F158" s="4">
        <v>3052</v>
      </c>
      <c r="G158" s="5">
        <v>378</v>
      </c>
    </row>
    <row r="159" spans="3:7" x14ac:dyDescent="0.3">
      <c r="C159" t="s">
        <v>9</v>
      </c>
      <c r="D159" t="s">
        <v>34</v>
      </c>
      <c r="E159" t="s">
        <v>21</v>
      </c>
      <c r="F159" s="4">
        <v>6832</v>
      </c>
      <c r="G159" s="5">
        <v>27</v>
      </c>
    </row>
    <row r="160" spans="3:7" x14ac:dyDescent="0.3">
      <c r="C160" t="s">
        <v>2</v>
      </c>
      <c r="D160" t="s">
        <v>39</v>
      </c>
      <c r="E160" t="s">
        <v>16</v>
      </c>
      <c r="F160" s="4">
        <v>2016</v>
      </c>
      <c r="G160" s="5">
        <v>117</v>
      </c>
    </row>
    <row r="161" spans="3:7" x14ac:dyDescent="0.3">
      <c r="C161" t="s">
        <v>6</v>
      </c>
      <c r="D161" t="s">
        <v>38</v>
      </c>
      <c r="E161" t="s">
        <v>21</v>
      </c>
      <c r="F161" s="4">
        <v>7322</v>
      </c>
      <c r="G161" s="5">
        <v>36</v>
      </c>
    </row>
    <row r="162" spans="3:7" x14ac:dyDescent="0.3">
      <c r="C162" t="s">
        <v>8</v>
      </c>
      <c r="D162" t="s">
        <v>35</v>
      </c>
      <c r="E162" t="s">
        <v>33</v>
      </c>
      <c r="F162" s="4">
        <v>357</v>
      </c>
      <c r="G162" s="5">
        <v>126</v>
      </c>
    </row>
    <row r="163" spans="3:7" x14ac:dyDescent="0.3">
      <c r="C163" t="s">
        <v>9</v>
      </c>
      <c r="D163" t="s">
        <v>39</v>
      </c>
      <c r="E163" t="s">
        <v>25</v>
      </c>
      <c r="F163" s="4">
        <v>3192</v>
      </c>
      <c r="G163" s="5">
        <v>72</v>
      </c>
    </row>
    <row r="164" spans="3:7" x14ac:dyDescent="0.3">
      <c r="C164" t="s">
        <v>7</v>
      </c>
      <c r="D164" t="s">
        <v>36</v>
      </c>
      <c r="E164" t="s">
        <v>22</v>
      </c>
      <c r="F164" s="4">
        <v>8435</v>
      </c>
      <c r="G164" s="5">
        <v>42</v>
      </c>
    </row>
    <row r="165" spans="3:7" x14ac:dyDescent="0.3">
      <c r="C165" t="s">
        <v>40</v>
      </c>
      <c r="D165" t="s">
        <v>39</v>
      </c>
      <c r="E165" t="s">
        <v>29</v>
      </c>
      <c r="F165" s="4">
        <v>0</v>
      </c>
      <c r="G165" s="5">
        <v>135</v>
      </c>
    </row>
    <row r="166" spans="3:7" x14ac:dyDescent="0.3">
      <c r="C166" t="s">
        <v>7</v>
      </c>
      <c r="D166" t="s">
        <v>34</v>
      </c>
      <c r="E166" t="s">
        <v>24</v>
      </c>
      <c r="F166" s="4">
        <v>8862</v>
      </c>
      <c r="G166" s="5">
        <v>189</v>
      </c>
    </row>
    <row r="167" spans="3:7" x14ac:dyDescent="0.3">
      <c r="C167" t="s">
        <v>6</v>
      </c>
      <c r="D167" t="s">
        <v>37</v>
      </c>
      <c r="E167" t="s">
        <v>28</v>
      </c>
      <c r="F167" s="4">
        <v>3556</v>
      </c>
      <c r="G167" s="5">
        <v>459</v>
      </c>
    </row>
    <row r="168" spans="3:7" x14ac:dyDescent="0.3">
      <c r="C168" t="s">
        <v>5</v>
      </c>
      <c r="D168" t="s">
        <v>34</v>
      </c>
      <c r="E168" t="s">
        <v>15</v>
      </c>
      <c r="F168" s="4">
        <v>7280</v>
      </c>
      <c r="G168" s="5">
        <v>201</v>
      </c>
    </row>
    <row r="169" spans="3:7" x14ac:dyDescent="0.3">
      <c r="C169" t="s">
        <v>6</v>
      </c>
      <c r="D169" t="s">
        <v>34</v>
      </c>
      <c r="E169" t="s">
        <v>30</v>
      </c>
      <c r="F169" s="4">
        <v>3402</v>
      </c>
      <c r="G169" s="5">
        <v>366</v>
      </c>
    </row>
    <row r="170" spans="3:7" x14ac:dyDescent="0.3">
      <c r="C170" t="s">
        <v>3</v>
      </c>
      <c r="D170" t="s">
        <v>37</v>
      </c>
      <c r="E170" t="s">
        <v>29</v>
      </c>
      <c r="F170" s="4">
        <v>4592</v>
      </c>
      <c r="G170" s="5">
        <v>324</v>
      </c>
    </row>
    <row r="171" spans="3:7" x14ac:dyDescent="0.3">
      <c r="C171" t="s">
        <v>9</v>
      </c>
      <c r="D171" t="s">
        <v>35</v>
      </c>
      <c r="E171" t="s">
        <v>15</v>
      </c>
      <c r="F171" s="4">
        <v>7833</v>
      </c>
      <c r="G171" s="5">
        <v>243</v>
      </c>
    </row>
    <row r="172" spans="3:7" x14ac:dyDescent="0.3">
      <c r="C172" t="s">
        <v>2</v>
      </c>
      <c r="D172" t="s">
        <v>39</v>
      </c>
      <c r="E172" t="s">
        <v>21</v>
      </c>
      <c r="F172" s="4">
        <v>7651</v>
      </c>
      <c r="G172" s="5">
        <v>213</v>
      </c>
    </row>
    <row r="173" spans="3:7" x14ac:dyDescent="0.3">
      <c r="C173" t="s">
        <v>40</v>
      </c>
      <c r="D173" t="s">
        <v>35</v>
      </c>
      <c r="E173" t="s">
        <v>30</v>
      </c>
      <c r="F173" s="4">
        <v>2275</v>
      </c>
      <c r="G173" s="5">
        <v>447</v>
      </c>
    </row>
    <row r="174" spans="3:7" x14ac:dyDescent="0.3">
      <c r="C174" t="s">
        <v>40</v>
      </c>
      <c r="D174" t="s">
        <v>38</v>
      </c>
      <c r="E174" t="s">
        <v>13</v>
      </c>
      <c r="F174" s="4">
        <v>5670</v>
      </c>
      <c r="G174" s="5">
        <v>297</v>
      </c>
    </row>
    <row r="175" spans="3:7" x14ac:dyDescent="0.3">
      <c r="C175" t="s">
        <v>7</v>
      </c>
      <c r="D175" t="s">
        <v>35</v>
      </c>
      <c r="E175" t="s">
        <v>16</v>
      </c>
      <c r="F175" s="4">
        <v>2135</v>
      </c>
      <c r="G175" s="5">
        <v>27</v>
      </c>
    </row>
    <row r="176" spans="3:7" x14ac:dyDescent="0.3">
      <c r="C176" t="s">
        <v>40</v>
      </c>
      <c r="D176" t="s">
        <v>34</v>
      </c>
      <c r="E176" t="s">
        <v>23</v>
      </c>
      <c r="F176" s="4">
        <v>2779</v>
      </c>
      <c r="G176" s="5">
        <v>75</v>
      </c>
    </row>
    <row r="177" spans="3:7" x14ac:dyDescent="0.3">
      <c r="C177" t="s">
        <v>10</v>
      </c>
      <c r="D177" t="s">
        <v>39</v>
      </c>
      <c r="E177" t="s">
        <v>33</v>
      </c>
      <c r="F177" s="4">
        <v>12950</v>
      </c>
      <c r="G177" s="5">
        <v>30</v>
      </c>
    </row>
    <row r="178" spans="3:7" x14ac:dyDescent="0.3">
      <c r="C178" t="s">
        <v>7</v>
      </c>
      <c r="D178" t="s">
        <v>36</v>
      </c>
      <c r="E178" t="s">
        <v>18</v>
      </c>
      <c r="F178" s="4">
        <v>2646</v>
      </c>
      <c r="G178" s="5">
        <v>177</v>
      </c>
    </row>
    <row r="179" spans="3:7" x14ac:dyDescent="0.3">
      <c r="C179" t="s">
        <v>40</v>
      </c>
      <c r="D179" t="s">
        <v>34</v>
      </c>
      <c r="E179" t="s">
        <v>33</v>
      </c>
      <c r="F179" s="4">
        <v>3794</v>
      </c>
      <c r="G179" s="5">
        <v>159</v>
      </c>
    </row>
    <row r="180" spans="3:7" x14ac:dyDescent="0.3">
      <c r="C180" t="s">
        <v>3</v>
      </c>
      <c r="D180" t="s">
        <v>35</v>
      </c>
      <c r="E180" t="s">
        <v>33</v>
      </c>
      <c r="F180" s="4">
        <v>819</v>
      </c>
      <c r="G180" s="5">
        <v>306</v>
      </c>
    </row>
    <row r="181" spans="3:7" x14ac:dyDescent="0.3">
      <c r="C181" t="s">
        <v>3</v>
      </c>
      <c r="D181" t="s">
        <v>34</v>
      </c>
      <c r="E181" t="s">
        <v>20</v>
      </c>
      <c r="F181" s="4">
        <v>2583</v>
      </c>
      <c r="G181" s="5">
        <v>18</v>
      </c>
    </row>
    <row r="182" spans="3:7" x14ac:dyDescent="0.3">
      <c r="C182" t="s">
        <v>7</v>
      </c>
      <c r="D182" t="s">
        <v>35</v>
      </c>
      <c r="E182" t="s">
        <v>19</v>
      </c>
      <c r="F182" s="4">
        <v>4585</v>
      </c>
      <c r="G182" s="5">
        <v>240</v>
      </c>
    </row>
    <row r="183" spans="3:7" x14ac:dyDescent="0.3">
      <c r="C183" t="s">
        <v>5</v>
      </c>
      <c r="D183" t="s">
        <v>34</v>
      </c>
      <c r="E183" t="s">
        <v>33</v>
      </c>
      <c r="F183" s="4">
        <v>1652</v>
      </c>
      <c r="G183" s="5">
        <v>93</v>
      </c>
    </row>
    <row r="184" spans="3:7" x14ac:dyDescent="0.3">
      <c r="C184" t="s">
        <v>10</v>
      </c>
      <c r="D184" t="s">
        <v>34</v>
      </c>
      <c r="E184" t="s">
        <v>26</v>
      </c>
      <c r="F184" s="4">
        <v>4991</v>
      </c>
      <c r="G184" s="5">
        <v>9</v>
      </c>
    </row>
    <row r="185" spans="3:7" x14ac:dyDescent="0.3">
      <c r="C185" t="s">
        <v>8</v>
      </c>
      <c r="D185" t="s">
        <v>34</v>
      </c>
      <c r="E185" t="s">
        <v>16</v>
      </c>
      <c r="F185" s="4">
        <v>2009</v>
      </c>
      <c r="G185" s="5">
        <v>219</v>
      </c>
    </row>
    <row r="186" spans="3:7" x14ac:dyDescent="0.3">
      <c r="C186" t="s">
        <v>2</v>
      </c>
      <c r="D186" t="s">
        <v>39</v>
      </c>
      <c r="E186" t="s">
        <v>22</v>
      </c>
      <c r="F186" s="4">
        <v>1568</v>
      </c>
      <c r="G186" s="5">
        <v>141</v>
      </c>
    </row>
    <row r="187" spans="3:7" x14ac:dyDescent="0.3">
      <c r="C187" t="s">
        <v>41</v>
      </c>
      <c r="D187" t="s">
        <v>37</v>
      </c>
      <c r="E187" t="s">
        <v>20</v>
      </c>
      <c r="F187" s="4">
        <v>3388</v>
      </c>
      <c r="G187" s="5">
        <v>123</v>
      </c>
    </row>
    <row r="188" spans="3:7" x14ac:dyDescent="0.3">
      <c r="C188" t="s">
        <v>40</v>
      </c>
      <c r="D188" t="s">
        <v>38</v>
      </c>
      <c r="E188" t="s">
        <v>24</v>
      </c>
      <c r="F188" s="4">
        <v>623</v>
      </c>
      <c r="G188" s="5">
        <v>51</v>
      </c>
    </row>
    <row r="189" spans="3:7" x14ac:dyDescent="0.3">
      <c r="C189" t="s">
        <v>6</v>
      </c>
      <c r="D189" t="s">
        <v>36</v>
      </c>
      <c r="E189" t="s">
        <v>4</v>
      </c>
      <c r="F189" s="4">
        <v>10073</v>
      </c>
      <c r="G189" s="5">
        <v>120</v>
      </c>
    </row>
    <row r="190" spans="3:7" x14ac:dyDescent="0.3">
      <c r="C190" t="s">
        <v>8</v>
      </c>
      <c r="D190" t="s">
        <v>39</v>
      </c>
      <c r="E190" t="s">
        <v>26</v>
      </c>
      <c r="F190" s="4">
        <v>1561</v>
      </c>
      <c r="G190" s="5">
        <v>27</v>
      </c>
    </row>
    <row r="191" spans="3:7" x14ac:dyDescent="0.3">
      <c r="C191" t="s">
        <v>9</v>
      </c>
      <c r="D191" t="s">
        <v>36</v>
      </c>
      <c r="E191" t="s">
        <v>27</v>
      </c>
      <c r="F191" s="4">
        <v>11522</v>
      </c>
      <c r="G191" s="5">
        <v>204</v>
      </c>
    </row>
    <row r="192" spans="3:7" x14ac:dyDescent="0.3">
      <c r="C192" t="s">
        <v>6</v>
      </c>
      <c r="D192" t="s">
        <v>38</v>
      </c>
      <c r="E192" t="s">
        <v>13</v>
      </c>
      <c r="F192" s="4">
        <v>2317</v>
      </c>
      <c r="G192" s="5">
        <v>123</v>
      </c>
    </row>
    <row r="193" spans="3:7" x14ac:dyDescent="0.3">
      <c r="C193" t="s">
        <v>10</v>
      </c>
      <c r="D193" t="s">
        <v>37</v>
      </c>
      <c r="E193" t="s">
        <v>28</v>
      </c>
      <c r="F193" s="4">
        <v>3059</v>
      </c>
      <c r="G193" s="5">
        <v>27</v>
      </c>
    </row>
    <row r="194" spans="3:7" x14ac:dyDescent="0.3">
      <c r="C194" t="s">
        <v>41</v>
      </c>
      <c r="D194" t="s">
        <v>37</v>
      </c>
      <c r="E194" t="s">
        <v>26</v>
      </c>
      <c r="F194" s="4">
        <v>2324</v>
      </c>
      <c r="G194" s="5">
        <v>177</v>
      </c>
    </row>
    <row r="195" spans="3:7" x14ac:dyDescent="0.3">
      <c r="C195" t="s">
        <v>3</v>
      </c>
      <c r="D195" t="s">
        <v>39</v>
      </c>
      <c r="E195" t="s">
        <v>26</v>
      </c>
      <c r="F195" s="4">
        <v>4956</v>
      </c>
      <c r="G195" s="5">
        <v>171</v>
      </c>
    </row>
    <row r="196" spans="3:7" x14ac:dyDescent="0.3">
      <c r="C196" t="s">
        <v>10</v>
      </c>
      <c r="D196" t="s">
        <v>34</v>
      </c>
      <c r="E196" t="s">
        <v>19</v>
      </c>
      <c r="F196" s="4">
        <v>5355</v>
      </c>
      <c r="G196" s="5">
        <v>204</v>
      </c>
    </row>
    <row r="197" spans="3:7" x14ac:dyDescent="0.3">
      <c r="C197" t="s">
        <v>3</v>
      </c>
      <c r="D197" t="s">
        <v>34</v>
      </c>
      <c r="E197" t="s">
        <v>14</v>
      </c>
      <c r="F197" s="4">
        <v>7259</v>
      </c>
      <c r="G197" s="5">
        <v>276</v>
      </c>
    </row>
    <row r="198" spans="3:7" x14ac:dyDescent="0.3">
      <c r="C198" t="s">
        <v>8</v>
      </c>
      <c r="D198" t="s">
        <v>37</v>
      </c>
      <c r="E198" t="s">
        <v>26</v>
      </c>
      <c r="F198" s="4">
        <v>6279</v>
      </c>
      <c r="G198" s="5">
        <v>45</v>
      </c>
    </row>
    <row r="199" spans="3:7" x14ac:dyDescent="0.3">
      <c r="C199" t="s">
        <v>40</v>
      </c>
      <c r="D199" t="s">
        <v>38</v>
      </c>
      <c r="E199" t="s">
        <v>29</v>
      </c>
      <c r="F199" s="4">
        <v>2541</v>
      </c>
      <c r="G199" s="5">
        <v>45</v>
      </c>
    </row>
    <row r="200" spans="3:7" x14ac:dyDescent="0.3">
      <c r="C200" t="s">
        <v>6</v>
      </c>
      <c r="D200" t="s">
        <v>35</v>
      </c>
      <c r="E200" t="s">
        <v>27</v>
      </c>
      <c r="F200" s="4">
        <v>3864</v>
      </c>
      <c r="G200" s="5">
        <v>177</v>
      </c>
    </row>
    <row r="201" spans="3:7" x14ac:dyDescent="0.3">
      <c r="C201" t="s">
        <v>5</v>
      </c>
      <c r="D201" t="s">
        <v>36</v>
      </c>
      <c r="E201" t="s">
        <v>13</v>
      </c>
      <c r="F201" s="4">
        <v>6146</v>
      </c>
      <c r="G201" s="5">
        <v>63</v>
      </c>
    </row>
    <row r="202" spans="3:7" x14ac:dyDescent="0.3">
      <c r="C202" t="s">
        <v>9</v>
      </c>
      <c r="D202" t="s">
        <v>39</v>
      </c>
      <c r="E202" t="s">
        <v>18</v>
      </c>
      <c r="F202" s="4">
        <v>2639</v>
      </c>
      <c r="G202" s="5">
        <v>204</v>
      </c>
    </row>
    <row r="203" spans="3:7" x14ac:dyDescent="0.3">
      <c r="C203" t="s">
        <v>8</v>
      </c>
      <c r="D203" t="s">
        <v>37</v>
      </c>
      <c r="E203" t="s">
        <v>22</v>
      </c>
      <c r="F203" s="4">
        <v>1890</v>
      </c>
      <c r="G203" s="5">
        <v>195</v>
      </c>
    </row>
    <row r="204" spans="3:7" x14ac:dyDescent="0.3">
      <c r="C204" t="s">
        <v>7</v>
      </c>
      <c r="D204" t="s">
        <v>34</v>
      </c>
      <c r="E204" t="s">
        <v>14</v>
      </c>
      <c r="F204" s="4">
        <v>1932</v>
      </c>
      <c r="G204" s="5">
        <v>369</v>
      </c>
    </row>
    <row r="205" spans="3:7" x14ac:dyDescent="0.3">
      <c r="C205" t="s">
        <v>3</v>
      </c>
      <c r="D205" t="s">
        <v>34</v>
      </c>
      <c r="E205" t="s">
        <v>25</v>
      </c>
      <c r="F205" s="4">
        <v>6300</v>
      </c>
      <c r="G205" s="5">
        <v>42</v>
      </c>
    </row>
    <row r="206" spans="3:7" x14ac:dyDescent="0.3">
      <c r="C206" t="s">
        <v>6</v>
      </c>
      <c r="D206" t="s">
        <v>37</v>
      </c>
      <c r="E206" t="s">
        <v>30</v>
      </c>
      <c r="F206" s="4">
        <v>560</v>
      </c>
      <c r="G206" s="5">
        <v>81</v>
      </c>
    </row>
    <row r="207" spans="3:7" x14ac:dyDescent="0.3">
      <c r="C207" t="s">
        <v>9</v>
      </c>
      <c r="D207" t="s">
        <v>37</v>
      </c>
      <c r="E207" t="s">
        <v>26</v>
      </c>
      <c r="F207" s="4">
        <v>2856</v>
      </c>
      <c r="G207" s="5">
        <v>246</v>
      </c>
    </row>
    <row r="208" spans="3:7" x14ac:dyDescent="0.3">
      <c r="C208" t="s">
        <v>9</v>
      </c>
      <c r="D208" t="s">
        <v>34</v>
      </c>
      <c r="E208" t="s">
        <v>17</v>
      </c>
      <c r="F208" s="4">
        <v>707</v>
      </c>
      <c r="G208" s="5">
        <v>174</v>
      </c>
    </row>
    <row r="209" spans="3:7" x14ac:dyDescent="0.3">
      <c r="C209" t="s">
        <v>8</v>
      </c>
      <c r="D209" t="s">
        <v>35</v>
      </c>
      <c r="E209" t="s">
        <v>30</v>
      </c>
      <c r="F209" s="4">
        <v>3598</v>
      </c>
      <c r="G209" s="5">
        <v>81</v>
      </c>
    </row>
    <row r="210" spans="3:7" x14ac:dyDescent="0.3">
      <c r="C210" t="s">
        <v>40</v>
      </c>
      <c r="D210" t="s">
        <v>35</v>
      </c>
      <c r="E210" t="s">
        <v>22</v>
      </c>
      <c r="F210" s="4">
        <v>6853</v>
      </c>
      <c r="G210" s="5">
        <v>372</v>
      </c>
    </row>
    <row r="211" spans="3:7" x14ac:dyDescent="0.3">
      <c r="C211" t="s">
        <v>40</v>
      </c>
      <c r="D211" t="s">
        <v>35</v>
      </c>
      <c r="E211" t="s">
        <v>16</v>
      </c>
      <c r="F211" s="4">
        <v>4725</v>
      </c>
      <c r="G211" s="5">
        <v>174</v>
      </c>
    </row>
    <row r="212" spans="3:7" x14ac:dyDescent="0.3">
      <c r="C212" t="s">
        <v>41</v>
      </c>
      <c r="D212" t="s">
        <v>36</v>
      </c>
      <c r="E212" t="s">
        <v>32</v>
      </c>
      <c r="F212" s="4">
        <v>10304</v>
      </c>
      <c r="G212" s="5">
        <v>84</v>
      </c>
    </row>
    <row r="213" spans="3:7" x14ac:dyDescent="0.3">
      <c r="C213" t="s">
        <v>41</v>
      </c>
      <c r="D213" t="s">
        <v>34</v>
      </c>
      <c r="E213" t="s">
        <v>16</v>
      </c>
      <c r="F213" s="4">
        <v>1274</v>
      </c>
      <c r="G213" s="5">
        <v>225</v>
      </c>
    </row>
    <row r="214" spans="3:7" x14ac:dyDescent="0.3">
      <c r="C214" t="s">
        <v>5</v>
      </c>
      <c r="D214" t="s">
        <v>36</v>
      </c>
      <c r="E214" t="s">
        <v>30</v>
      </c>
      <c r="F214" s="4">
        <v>1526</v>
      </c>
      <c r="G214" s="5">
        <v>105</v>
      </c>
    </row>
    <row r="215" spans="3:7" x14ac:dyDescent="0.3">
      <c r="C215" t="s">
        <v>40</v>
      </c>
      <c r="D215" t="s">
        <v>39</v>
      </c>
      <c r="E215" t="s">
        <v>28</v>
      </c>
      <c r="F215" s="4">
        <v>3101</v>
      </c>
      <c r="G215" s="5">
        <v>225</v>
      </c>
    </row>
    <row r="216" spans="3:7" x14ac:dyDescent="0.3">
      <c r="C216" t="s">
        <v>2</v>
      </c>
      <c r="D216" t="s">
        <v>37</v>
      </c>
      <c r="E216" t="s">
        <v>14</v>
      </c>
      <c r="F216" s="4">
        <v>1057</v>
      </c>
      <c r="G216" s="5">
        <v>54</v>
      </c>
    </row>
    <row r="217" spans="3:7" x14ac:dyDescent="0.3">
      <c r="C217" t="s">
        <v>7</v>
      </c>
      <c r="D217" t="s">
        <v>37</v>
      </c>
      <c r="E217" t="s">
        <v>26</v>
      </c>
      <c r="F217" s="4">
        <v>5306</v>
      </c>
      <c r="G217" s="5">
        <v>0</v>
      </c>
    </row>
    <row r="218" spans="3:7" x14ac:dyDescent="0.3">
      <c r="C218" t="s">
        <v>5</v>
      </c>
      <c r="D218" t="s">
        <v>39</v>
      </c>
      <c r="E218" t="s">
        <v>24</v>
      </c>
      <c r="F218" s="4">
        <v>4018</v>
      </c>
      <c r="G218" s="5">
        <v>171</v>
      </c>
    </row>
    <row r="219" spans="3:7" x14ac:dyDescent="0.3">
      <c r="C219" t="s">
        <v>9</v>
      </c>
      <c r="D219" t="s">
        <v>34</v>
      </c>
      <c r="E219" t="s">
        <v>16</v>
      </c>
      <c r="F219" s="4">
        <v>938</v>
      </c>
      <c r="G219" s="5">
        <v>189</v>
      </c>
    </row>
    <row r="220" spans="3:7" x14ac:dyDescent="0.3">
      <c r="C220" t="s">
        <v>7</v>
      </c>
      <c r="D220" t="s">
        <v>38</v>
      </c>
      <c r="E220" t="s">
        <v>18</v>
      </c>
      <c r="F220" s="4">
        <v>1778</v>
      </c>
      <c r="G220" s="5">
        <v>270</v>
      </c>
    </row>
    <row r="221" spans="3:7" x14ac:dyDescent="0.3">
      <c r="C221" t="s">
        <v>6</v>
      </c>
      <c r="D221" t="s">
        <v>39</v>
      </c>
      <c r="E221" t="s">
        <v>30</v>
      </c>
      <c r="F221" s="4">
        <v>1638</v>
      </c>
      <c r="G221" s="5">
        <v>63</v>
      </c>
    </row>
    <row r="222" spans="3:7" x14ac:dyDescent="0.3">
      <c r="C222" t="s">
        <v>41</v>
      </c>
      <c r="D222" t="s">
        <v>38</v>
      </c>
      <c r="E222" t="s">
        <v>25</v>
      </c>
      <c r="F222" s="4">
        <v>154</v>
      </c>
      <c r="G222" s="5">
        <v>21</v>
      </c>
    </row>
    <row r="223" spans="3:7" x14ac:dyDescent="0.3">
      <c r="C223" t="s">
        <v>7</v>
      </c>
      <c r="D223" t="s">
        <v>37</v>
      </c>
      <c r="E223" t="s">
        <v>22</v>
      </c>
      <c r="F223" s="4">
        <v>9835</v>
      </c>
      <c r="G223" s="5">
        <v>207</v>
      </c>
    </row>
    <row r="224" spans="3:7" x14ac:dyDescent="0.3">
      <c r="C224" t="s">
        <v>9</v>
      </c>
      <c r="D224" t="s">
        <v>37</v>
      </c>
      <c r="E224" t="s">
        <v>20</v>
      </c>
      <c r="F224" s="4">
        <v>7273</v>
      </c>
      <c r="G224" s="5">
        <v>96</v>
      </c>
    </row>
    <row r="225" spans="3:7" x14ac:dyDescent="0.3">
      <c r="C225" t="s">
        <v>5</v>
      </c>
      <c r="D225" t="s">
        <v>39</v>
      </c>
      <c r="E225" t="s">
        <v>22</v>
      </c>
      <c r="F225" s="4">
        <v>6909</v>
      </c>
      <c r="G225" s="5">
        <v>81</v>
      </c>
    </row>
    <row r="226" spans="3:7" x14ac:dyDescent="0.3">
      <c r="C226" t="s">
        <v>9</v>
      </c>
      <c r="D226" t="s">
        <v>39</v>
      </c>
      <c r="E226" t="s">
        <v>24</v>
      </c>
      <c r="F226" s="4">
        <v>3920</v>
      </c>
      <c r="G226" s="5">
        <v>306</v>
      </c>
    </row>
    <row r="227" spans="3:7" x14ac:dyDescent="0.3">
      <c r="C227" t="s">
        <v>10</v>
      </c>
      <c r="D227" t="s">
        <v>39</v>
      </c>
      <c r="E227" t="s">
        <v>21</v>
      </c>
      <c r="F227" s="4">
        <v>4858</v>
      </c>
      <c r="G227" s="5">
        <v>279</v>
      </c>
    </row>
    <row r="228" spans="3:7" x14ac:dyDescent="0.3">
      <c r="C228" t="s">
        <v>2</v>
      </c>
      <c r="D228" t="s">
        <v>38</v>
      </c>
      <c r="E228" t="s">
        <v>4</v>
      </c>
      <c r="F228" s="4">
        <v>3549</v>
      </c>
      <c r="G228" s="5">
        <v>3</v>
      </c>
    </row>
    <row r="229" spans="3:7" x14ac:dyDescent="0.3">
      <c r="C229" t="s">
        <v>7</v>
      </c>
      <c r="D229" t="s">
        <v>39</v>
      </c>
      <c r="E229" t="s">
        <v>27</v>
      </c>
      <c r="F229" s="4">
        <v>966</v>
      </c>
      <c r="G229" s="5">
        <v>198</v>
      </c>
    </row>
    <row r="230" spans="3:7" x14ac:dyDescent="0.3">
      <c r="C230" t="s">
        <v>5</v>
      </c>
      <c r="D230" t="s">
        <v>39</v>
      </c>
      <c r="E230" t="s">
        <v>18</v>
      </c>
      <c r="F230" s="4">
        <v>385</v>
      </c>
      <c r="G230" s="5">
        <v>249</v>
      </c>
    </row>
    <row r="231" spans="3:7" x14ac:dyDescent="0.3">
      <c r="C231" t="s">
        <v>6</v>
      </c>
      <c r="D231" t="s">
        <v>34</v>
      </c>
      <c r="E231" t="s">
        <v>16</v>
      </c>
      <c r="F231" s="4">
        <v>2219</v>
      </c>
      <c r="G231" s="5">
        <v>75</v>
      </c>
    </row>
    <row r="232" spans="3:7" x14ac:dyDescent="0.3">
      <c r="C232" t="s">
        <v>9</v>
      </c>
      <c r="D232" t="s">
        <v>36</v>
      </c>
      <c r="E232" t="s">
        <v>32</v>
      </c>
      <c r="F232" s="4">
        <v>2954</v>
      </c>
      <c r="G232" s="5">
        <v>189</v>
      </c>
    </row>
    <row r="233" spans="3:7" x14ac:dyDescent="0.3">
      <c r="C233" t="s">
        <v>7</v>
      </c>
      <c r="D233" t="s">
        <v>36</v>
      </c>
      <c r="E233" t="s">
        <v>32</v>
      </c>
      <c r="F233" s="4">
        <v>280</v>
      </c>
      <c r="G233" s="5">
        <v>87</v>
      </c>
    </row>
    <row r="234" spans="3:7" x14ac:dyDescent="0.3">
      <c r="C234" t="s">
        <v>41</v>
      </c>
      <c r="D234" t="s">
        <v>36</v>
      </c>
      <c r="E234" t="s">
        <v>30</v>
      </c>
      <c r="F234" s="4">
        <v>6118</v>
      </c>
      <c r="G234" s="5">
        <v>174</v>
      </c>
    </row>
    <row r="235" spans="3:7" x14ac:dyDescent="0.3">
      <c r="C235" t="s">
        <v>2</v>
      </c>
      <c r="D235" t="s">
        <v>39</v>
      </c>
      <c r="E235" t="s">
        <v>15</v>
      </c>
      <c r="F235" s="4">
        <v>4802</v>
      </c>
      <c r="G235" s="5">
        <v>36</v>
      </c>
    </row>
    <row r="236" spans="3:7" x14ac:dyDescent="0.3">
      <c r="C236" t="s">
        <v>9</v>
      </c>
      <c r="D236" t="s">
        <v>38</v>
      </c>
      <c r="E236" t="s">
        <v>24</v>
      </c>
      <c r="F236" s="4">
        <v>4137</v>
      </c>
      <c r="G236" s="5">
        <v>60</v>
      </c>
    </row>
    <row r="237" spans="3:7" x14ac:dyDescent="0.3">
      <c r="C237" t="s">
        <v>3</v>
      </c>
      <c r="D237" t="s">
        <v>35</v>
      </c>
      <c r="E237" t="s">
        <v>23</v>
      </c>
      <c r="F237" s="4">
        <v>2023</v>
      </c>
      <c r="G237" s="5">
        <v>78</v>
      </c>
    </row>
    <row r="238" spans="3:7" x14ac:dyDescent="0.3">
      <c r="C238" t="s">
        <v>9</v>
      </c>
      <c r="D238" t="s">
        <v>36</v>
      </c>
      <c r="E238" t="s">
        <v>30</v>
      </c>
      <c r="F238" s="4">
        <v>9051</v>
      </c>
      <c r="G238" s="5">
        <v>57</v>
      </c>
    </row>
    <row r="239" spans="3:7" x14ac:dyDescent="0.3">
      <c r="C239" t="s">
        <v>9</v>
      </c>
      <c r="D239" t="s">
        <v>37</v>
      </c>
      <c r="E239" t="s">
        <v>28</v>
      </c>
      <c r="F239" s="4">
        <v>2919</v>
      </c>
      <c r="G239" s="5">
        <v>45</v>
      </c>
    </row>
    <row r="240" spans="3:7" x14ac:dyDescent="0.3">
      <c r="C240" t="s">
        <v>41</v>
      </c>
      <c r="D240" t="s">
        <v>38</v>
      </c>
      <c r="E240" t="s">
        <v>22</v>
      </c>
      <c r="F240" s="4">
        <v>5915</v>
      </c>
      <c r="G240" s="5">
        <v>3</v>
      </c>
    </row>
    <row r="241" spans="3:7" x14ac:dyDescent="0.3">
      <c r="C241" t="s">
        <v>10</v>
      </c>
      <c r="D241" t="s">
        <v>35</v>
      </c>
      <c r="E241" t="s">
        <v>15</v>
      </c>
      <c r="F241" s="4">
        <v>2562</v>
      </c>
      <c r="G241" s="5">
        <v>6</v>
      </c>
    </row>
    <row r="242" spans="3:7" x14ac:dyDescent="0.3">
      <c r="C242" t="s">
        <v>5</v>
      </c>
      <c r="D242" t="s">
        <v>37</v>
      </c>
      <c r="E242" t="s">
        <v>25</v>
      </c>
      <c r="F242" s="4">
        <v>8813</v>
      </c>
      <c r="G242" s="5">
        <v>21</v>
      </c>
    </row>
    <row r="243" spans="3:7" x14ac:dyDescent="0.3">
      <c r="C243" t="s">
        <v>5</v>
      </c>
      <c r="D243" t="s">
        <v>36</v>
      </c>
      <c r="E243" t="s">
        <v>18</v>
      </c>
      <c r="F243" s="4">
        <v>6111</v>
      </c>
      <c r="G243" s="5">
        <v>3</v>
      </c>
    </row>
    <row r="244" spans="3:7" x14ac:dyDescent="0.3">
      <c r="C244" t="s">
        <v>8</v>
      </c>
      <c r="D244" t="s">
        <v>34</v>
      </c>
      <c r="E244" t="s">
        <v>31</v>
      </c>
      <c r="F244" s="4">
        <v>3507</v>
      </c>
      <c r="G244" s="5">
        <v>288</v>
      </c>
    </row>
    <row r="245" spans="3:7" x14ac:dyDescent="0.3">
      <c r="C245" t="s">
        <v>6</v>
      </c>
      <c r="D245" t="s">
        <v>36</v>
      </c>
      <c r="E245" t="s">
        <v>13</v>
      </c>
      <c r="F245" s="4">
        <v>4319</v>
      </c>
      <c r="G245" s="5">
        <v>30</v>
      </c>
    </row>
    <row r="246" spans="3:7" x14ac:dyDescent="0.3">
      <c r="C246" t="s">
        <v>40</v>
      </c>
      <c r="D246" t="s">
        <v>38</v>
      </c>
      <c r="E246" t="s">
        <v>26</v>
      </c>
      <c r="F246" s="4">
        <v>609</v>
      </c>
      <c r="G246" s="5">
        <v>87</v>
      </c>
    </row>
    <row r="247" spans="3:7" x14ac:dyDescent="0.3">
      <c r="C247" t="s">
        <v>40</v>
      </c>
      <c r="D247" t="s">
        <v>39</v>
      </c>
      <c r="E247" t="s">
        <v>27</v>
      </c>
      <c r="F247" s="4">
        <v>6370</v>
      </c>
      <c r="G247" s="5">
        <v>30</v>
      </c>
    </row>
    <row r="248" spans="3:7" x14ac:dyDescent="0.3">
      <c r="C248" t="s">
        <v>5</v>
      </c>
      <c r="D248" t="s">
        <v>38</v>
      </c>
      <c r="E248" t="s">
        <v>19</v>
      </c>
      <c r="F248" s="4">
        <v>5474</v>
      </c>
      <c r="G248" s="5">
        <v>168</v>
      </c>
    </row>
    <row r="249" spans="3:7" x14ac:dyDescent="0.3">
      <c r="C249" t="s">
        <v>40</v>
      </c>
      <c r="D249" t="s">
        <v>36</v>
      </c>
      <c r="E249" t="s">
        <v>27</v>
      </c>
      <c r="F249" s="4">
        <v>3164</v>
      </c>
      <c r="G249" s="5">
        <v>306</v>
      </c>
    </row>
    <row r="250" spans="3:7" x14ac:dyDescent="0.3">
      <c r="C250" t="s">
        <v>6</v>
      </c>
      <c r="D250" t="s">
        <v>35</v>
      </c>
      <c r="E250" t="s">
        <v>4</v>
      </c>
      <c r="F250" s="4">
        <v>1302</v>
      </c>
      <c r="G250" s="5">
        <v>402</v>
      </c>
    </row>
    <row r="251" spans="3:7" x14ac:dyDescent="0.3">
      <c r="C251" t="s">
        <v>3</v>
      </c>
      <c r="D251" t="s">
        <v>37</v>
      </c>
      <c r="E251" t="s">
        <v>28</v>
      </c>
      <c r="F251" s="4">
        <v>7308</v>
      </c>
      <c r="G251" s="5">
        <v>327</v>
      </c>
    </row>
    <row r="252" spans="3:7" x14ac:dyDescent="0.3">
      <c r="C252" t="s">
        <v>40</v>
      </c>
      <c r="D252" t="s">
        <v>37</v>
      </c>
      <c r="E252" t="s">
        <v>27</v>
      </c>
      <c r="F252" s="4">
        <v>6132</v>
      </c>
      <c r="G252" s="5">
        <v>93</v>
      </c>
    </row>
    <row r="253" spans="3:7" x14ac:dyDescent="0.3">
      <c r="C253" t="s">
        <v>10</v>
      </c>
      <c r="D253" t="s">
        <v>35</v>
      </c>
      <c r="E253" t="s">
        <v>14</v>
      </c>
      <c r="F253" s="4">
        <v>3472</v>
      </c>
      <c r="G253" s="5">
        <v>96</v>
      </c>
    </row>
    <row r="254" spans="3:7" x14ac:dyDescent="0.3">
      <c r="C254" t="s">
        <v>8</v>
      </c>
      <c r="D254" t="s">
        <v>39</v>
      </c>
      <c r="E254" t="s">
        <v>18</v>
      </c>
      <c r="F254" s="4">
        <v>9660</v>
      </c>
      <c r="G254" s="5">
        <v>27</v>
      </c>
    </row>
    <row r="255" spans="3:7" x14ac:dyDescent="0.3">
      <c r="C255" t="s">
        <v>9</v>
      </c>
      <c r="D255" t="s">
        <v>38</v>
      </c>
      <c r="E255" t="s">
        <v>26</v>
      </c>
      <c r="F255" s="4">
        <v>2436</v>
      </c>
      <c r="G255" s="5">
        <v>99</v>
      </c>
    </row>
    <row r="256" spans="3:7" x14ac:dyDescent="0.3">
      <c r="C256" t="s">
        <v>9</v>
      </c>
      <c r="D256" t="s">
        <v>38</v>
      </c>
      <c r="E256" t="s">
        <v>33</v>
      </c>
      <c r="F256" s="4">
        <v>9506</v>
      </c>
      <c r="G256" s="5">
        <v>87</v>
      </c>
    </row>
    <row r="257" spans="3:7" x14ac:dyDescent="0.3">
      <c r="C257" t="s">
        <v>10</v>
      </c>
      <c r="D257" t="s">
        <v>37</v>
      </c>
      <c r="E257" t="s">
        <v>21</v>
      </c>
      <c r="F257" s="4">
        <v>245</v>
      </c>
      <c r="G257" s="5">
        <v>288</v>
      </c>
    </row>
    <row r="258" spans="3:7" x14ac:dyDescent="0.3">
      <c r="C258" t="s">
        <v>8</v>
      </c>
      <c r="D258" t="s">
        <v>35</v>
      </c>
      <c r="E258" t="s">
        <v>20</v>
      </c>
      <c r="F258" s="4">
        <v>2702</v>
      </c>
      <c r="G258" s="5">
        <v>363</v>
      </c>
    </row>
    <row r="259" spans="3:7" x14ac:dyDescent="0.3">
      <c r="C259" t="s">
        <v>10</v>
      </c>
      <c r="D259" t="s">
        <v>34</v>
      </c>
      <c r="E259" t="s">
        <v>17</v>
      </c>
      <c r="F259" s="4">
        <v>700</v>
      </c>
      <c r="G259" s="5">
        <v>87</v>
      </c>
    </row>
    <row r="260" spans="3:7" x14ac:dyDescent="0.3">
      <c r="C260" t="s">
        <v>6</v>
      </c>
      <c r="D260" t="s">
        <v>34</v>
      </c>
      <c r="E260" t="s">
        <v>17</v>
      </c>
      <c r="F260" s="4">
        <v>3759</v>
      </c>
      <c r="G260" s="5">
        <v>150</v>
      </c>
    </row>
    <row r="261" spans="3:7" x14ac:dyDescent="0.3">
      <c r="C261" t="s">
        <v>2</v>
      </c>
      <c r="D261" t="s">
        <v>35</v>
      </c>
      <c r="E261" t="s">
        <v>17</v>
      </c>
      <c r="F261" s="4">
        <v>1589</v>
      </c>
      <c r="G261" s="5">
        <v>303</v>
      </c>
    </row>
    <row r="262" spans="3:7" x14ac:dyDescent="0.3">
      <c r="C262" t="s">
        <v>7</v>
      </c>
      <c r="D262" t="s">
        <v>35</v>
      </c>
      <c r="E262" t="s">
        <v>28</v>
      </c>
      <c r="F262" s="4">
        <v>5194</v>
      </c>
      <c r="G262" s="5">
        <v>288</v>
      </c>
    </row>
    <row r="263" spans="3:7" x14ac:dyDescent="0.3">
      <c r="C263" t="s">
        <v>10</v>
      </c>
      <c r="D263" t="s">
        <v>36</v>
      </c>
      <c r="E263" t="s">
        <v>13</v>
      </c>
      <c r="F263" s="4">
        <v>945</v>
      </c>
      <c r="G263" s="5">
        <v>75</v>
      </c>
    </row>
    <row r="264" spans="3:7" x14ac:dyDescent="0.3">
      <c r="C264" t="s">
        <v>40</v>
      </c>
      <c r="D264" t="s">
        <v>38</v>
      </c>
      <c r="E264" t="s">
        <v>31</v>
      </c>
      <c r="F264" s="4">
        <v>1988</v>
      </c>
      <c r="G264" s="5">
        <v>39</v>
      </c>
    </row>
    <row r="265" spans="3:7" x14ac:dyDescent="0.3">
      <c r="C265" t="s">
        <v>6</v>
      </c>
      <c r="D265" t="s">
        <v>34</v>
      </c>
      <c r="E265" t="s">
        <v>32</v>
      </c>
      <c r="F265" s="4">
        <v>6734</v>
      </c>
      <c r="G265" s="5">
        <v>123</v>
      </c>
    </row>
    <row r="266" spans="3:7" x14ac:dyDescent="0.3">
      <c r="C266" t="s">
        <v>40</v>
      </c>
      <c r="D266" t="s">
        <v>36</v>
      </c>
      <c r="E266" t="s">
        <v>4</v>
      </c>
      <c r="F266" s="4">
        <v>217</v>
      </c>
      <c r="G266" s="5">
        <v>36</v>
      </c>
    </row>
    <row r="267" spans="3:7" x14ac:dyDescent="0.3">
      <c r="C267" t="s">
        <v>5</v>
      </c>
      <c r="D267" t="s">
        <v>34</v>
      </c>
      <c r="E267" t="s">
        <v>22</v>
      </c>
      <c r="F267" s="4">
        <v>6279</v>
      </c>
      <c r="G267" s="5">
        <v>237</v>
      </c>
    </row>
    <row r="268" spans="3:7" x14ac:dyDescent="0.3">
      <c r="C268" t="s">
        <v>40</v>
      </c>
      <c r="D268" t="s">
        <v>36</v>
      </c>
      <c r="E268" t="s">
        <v>13</v>
      </c>
      <c r="F268" s="4">
        <v>4424</v>
      </c>
      <c r="G268" s="5">
        <v>201</v>
      </c>
    </row>
    <row r="269" spans="3:7" x14ac:dyDescent="0.3">
      <c r="C269" t="s">
        <v>2</v>
      </c>
      <c r="D269" t="s">
        <v>36</v>
      </c>
      <c r="E269" t="s">
        <v>17</v>
      </c>
      <c r="F269" s="4">
        <v>189</v>
      </c>
      <c r="G269" s="5">
        <v>48</v>
      </c>
    </row>
    <row r="270" spans="3:7" x14ac:dyDescent="0.3">
      <c r="C270" t="s">
        <v>5</v>
      </c>
      <c r="D270" t="s">
        <v>35</v>
      </c>
      <c r="E270" t="s">
        <v>22</v>
      </c>
      <c r="F270" s="4">
        <v>490</v>
      </c>
      <c r="G270" s="5">
        <v>84</v>
      </c>
    </row>
    <row r="271" spans="3:7" x14ac:dyDescent="0.3">
      <c r="C271" t="s">
        <v>8</v>
      </c>
      <c r="D271" t="s">
        <v>37</v>
      </c>
      <c r="E271" t="s">
        <v>21</v>
      </c>
      <c r="F271" s="4">
        <v>434</v>
      </c>
      <c r="G271" s="5">
        <v>87</v>
      </c>
    </row>
    <row r="272" spans="3:7" x14ac:dyDescent="0.3">
      <c r="C272" t="s">
        <v>7</v>
      </c>
      <c r="D272" t="s">
        <v>38</v>
      </c>
      <c r="E272" t="s">
        <v>30</v>
      </c>
      <c r="F272" s="4">
        <v>10129</v>
      </c>
      <c r="G272" s="5">
        <v>312</v>
      </c>
    </row>
    <row r="273" spans="3:7" x14ac:dyDescent="0.3">
      <c r="C273" t="s">
        <v>3</v>
      </c>
      <c r="D273" t="s">
        <v>39</v>
      </c>
      <c r="E273" t="s">
        <v>28</v>
      </c>
      <c r="F273" s="4">
        <v>1652</v>
      </c>
      <c r="G273" s="5">
        <v>102</v>
      </c>
    </row>
    <row r="274" spans="3:7" x14ac:dyDescent="0.3">
      <c r="C274" t="s">
        <v>8</v>
      </c>
      <c r="D274" t="s">
        <v>38</v>
      </c>
      <c r="E274" t="s">
        <v>21</v>
      </c>
      <c r="F274" s="4">
        <v>6433</v>
      </c>
      <c r="G274" s="5">
        <v>78</v>
      </c>
    </row>
    <row r="275" spans="3:7" x14ac:dyDescent="0.3">
      <c r="C275" t="s">
        <v>3</v>
      </c>
      <c r="D275" t="s">
        <v>34</v>
      </c>
      <c r="E275" t="s">
        <v>23</v>
      </c>
      <c r="F275" s="4">
        <v>2212</v>
      </c>
      <c r="G275" s="5">
        <v>117</v>
      </c>
    </row>
    <row r="276" spans="3:7" x14ac:dyDescent="0.3">
      <c r="C276" t="s">
        <v>41</v>
      </c>
      <c r="D276" t="s">
        <v>35</v>
      </c>
      <c r="E276" t="s">
        <v>19</v>
      </c>
      <c r="F276" s="4">
        <v>609</v>
      </c>
      <c r="G276" s="5">
        <v>99</v>
      </c>
    </row>
    <row r="277" spans="3:7" x14ac:dyDescent="0.3">
      <c r="C277" t="s">
        <v>40</v>
      </c>
      <c r="D277" t="s">
        <v>35</v>
      </c>
      <c r="E277" t="s">
        <v>24</v>
      </c>
      <c r="F277" s="4">
        <v>1638</v>
      </c>
      <c r="G277" s="5">
        <v>48</v>
      </c>
    </row>
    <row r="278" spans="3:7" x14ac:dyDescent="0.3">
      <c r="C278" t="s">
        <v>7</v>
      </c>
      <c r="D278" t="s">
        <v>34</v>
      </c>
      <c r="E278" t="s">
        <v>15</v>
      </c>
      <c r="F278" s="4">
        <v>3829</v>
      </c>
      <c r="G278" s="5">
        <v>24</v>
      </c>
    </row>
    <row r="279" spans="3:7" x14ac:dyDescent="0.3">
      <c r="C279" t="s">
        <v>40</v>
      </c>
      <c r="D279" t="s">
        <v>39</v>
      </c>
      <c r="E279" t="s">
        <v>15</v>
      </c>
      <c r="F279" s="4">
        <v>5775</v>
      </c>
      <c r="G279" s="5">
        <v>42</v>
      </c>
    </row>
    <row r="280" spans="3:7" x14ac:dyDescent="0.3">
      <c r="C280" t="s">
        <v>6</v>
      </c>
      <c r="D280" t="s">
        <v>35</v>
      </c>
      <c r="E280" t="s">
        <v>20</v>
      </c>
      <c r="F280" s="4">
        <v>1071</v>
      </c>
      <c r="G280" s="5">
        <v>270</v>
      </c>
    </row>
    <row r="281" spans="3:7" x14ac:dyDescent="0.3">
      <c r="C281" t="s">
        <v>8</v>
      </c>
      <c r="D281" t="s">
        <v>36</v>
      </c>
      <c r="E281" t="s">
        <v>23</v>
      </c>
      <c r="F281" s="4">
        <v>5019</v>
      </c>
      <c r="G281" s="5">
        <v>150</v>
      </c>
    </row>
    <row r="282" spans="3:7" x14ac:dyDescent="0.3">
      <c r="C282" t="s">
        <v>2</v>
      </c>
      <c r="D282" t="s">
        <v>37</v>
      </c>
      <c r="E282" t="s">
        <v>15</v>
      </c>
      <c r="F282" s="4">
        <v>2863</v>
      </c>
      <c r="G282" s="5">
        <v>42</v>
      </c>
    </row>
    <row r="283" spans="3:7" x14ac:dyDescent="0.3">
      <c r="C283" t="s">
        <v>40</v>
      </c>
      <c r="D283" t="s">
        <v>35</v>
      </c>
      <c r="E283" t="s">
        <v>29</v>
      </c>
      <c r="F283" s="4">
        <v>1617</v>
      </c>
      <c r="G283" s="5">
        <v>126</v>
      </c>
    </row>
    <row r="284" spans="3:7" x14ac:dyDescent="0.3">
      <c r="C284" t="s">
        <v>6</v>
      </c>
      <c r="D284" t="s">
        <v>37</v>
      </c>
      <c r="E284" t="s">
        <v>26</v>
      </c>
      <c r="F284" s="4">
        <v>6818</v>
      </c>
      <c r="G284" s="5">
        <v>6</v>
      </c>
    </row>
    <row r="285" spans="3:7" x14ac:dyDescent="0.3">
      <c r="C285" t="s">
        <v>3</v>
      </c>
      <c r="D285" t="s">
        <v>35</v>
      </c>
      <c r="E285" t="s">
        <v>15</v>
      </c>
      <c r="F285" s="4">
        <v>6657</v>
      </c>
      <c r="G285" s="5">
        <v>276</v>
      </c>
    </row>
    <row r="286" spans="3:7" x14ac:dyDescent="0.3">
      <c r="C286" t="s">
        <v>3</v>
      </c>
      <c r="D286" t="s">
        <v>34</v>
      </c>
      <c r="E286" t="s">
        <v>17</v>
      </c>
      <c r="F286" s="4">
        <v>2919</v>
      </c>
      <c r="G286" s="5">
        <v>93</v>
      </c>
    </row>
    <row r="287" spans="3:7" x14ac:dyDescent="0.3">
      <c r="C287" t="s">
        <v>2</v>
      </c>
      <c r="D287" t="s">
        <v>36</v>
      </c>
      <c r="E287" t="s">
        <v>31</v>
      </c>
      <c r="F287" s="4">
        <v>3094</v>
      </c>
      <c r="G287" s="5">
        <v>246</v>
      </c>
    </row>
    <row r="288" spans="3:7" x14ac:dyDescent="0.3">
      <c r="C288" t="s">
        <v>6</v>
      </c>
      <c r="D288" t="s">
        <v>39</v>
      </c>
      <c r="E288" t="s">
        <v>24</v>
      </c>
      <c r="F288" s="4">
        <v>2989</v>
      </c>
      <c r="G288" s="5">
        <v>3</v>
      </c>
    </row>
    <row r="289" spans="3:7" x14ac:dyDescent="0.3">
      <c r="C289" t="s">
        <v>8</v>
      </c>
      <c r="D289" t="s">
        <v>38</v>
      </c>
      <c r="E289" t="s">
        <v>27</v>
      </c>
      <c r="F289" s="4">
        <v>2268</v>
      </c>
      <c r="G289" s="5">
        <v>63</v>
      </c>
    </row>
    <row r="290" spans="3:7" x14ac:dyDescent="0.3">
      <c r="C290" t="s">
        <v>5</v>
      </c>
      <c r="D290" t="s">
        <v>35</v>
      </c>
      <c r="E290" t="s">
        <v>31</v>
      </c>
      <c r="F290" s="4">
        <v>4753</v>
      </c>
      <c r="G290" s="5">
        <v>246</v>
      </c>
    </row>
    <row r="291" spans="3:7" x14ac:dyDescent="0.3">
      <c r="C291" t="s">
        <v>2</v>
      </c>
      <c r="D291" t="s">
        <v>34</v>
      </c>
      <c r="E291" t="s">
        <v>19</v>
      </c>
      <c r="F291" s="4">
        <v>7511</v>
      </c>
      <c r="G291" s="5">
        <v>120</v>
      </c>
    </row>
    <row r="292" spans="3:7" x14ac:dyDescent="0.3">
      <c r="C292" t="s">
        <v>2</v>
      </c>
      <c r="D292" t="s">
        <v>38</v>
      </c>
      <c r="E292" t="s">
        <v>31</v>
      </c>
      <c r="F292" s="4">
        <v>4326</v>
      </c>
      <c r="G292" s="5">
        <v>348</v>
      </c>
    </row>
    <row r="293" spans="3:7" x14ac:dyDescent="0.3">
      <c r="C293" t="s">
        <v>41</v>
      </c>
      <c r="D293" t="s">
        <v>34</v>
      </c>
      <c r="E293" t="s">
        <v>23</v>
      </c>
      <c r="F293" s="4">
        <v>4935</v>
      </c>
      <c r="G293" s="5">
        <v>126</v>
      </c>
    </row>
    <row r="294" spans="3:7" x14ac:dyDescent="0.3">
      <c r="C294" t="s">
        <v>6</v>
      </c>
      <c r="D294" t="s">
        <v>35</v>
      </c>
      <c r="E294" t="s">
        <v>30</v>
      </c>
      <c r="F294" s="4">
        <v>4781</v>
      </c>
      <c r="G294" s="5">
        <v>123</v>
      </c>
    </row>
    <row r="295" spans="3:7" x14ac:dyDescent="0.3">
      <c r="C295" t="s">
        <v>5</v>
      </c>
      <c r="D295" t="s">
        <v>38</v>
      </c>
      <c r="E295" t="s">
        <v>25</v>
      </c>
      <c r="F295" s="4">
        <v>7483</v>
      </c>
      <c r="G295" s="5">
        <v>45</v>
      </c>
    </row>
    <row r="296" spans="3:7" x14ac:dyDescent="0.3">
      <c r="C296" t="s">
        <v>10</v>
      </c>
      <c r="D296" t="s">
        <v>38</v>
      </c>
      <c r="E296" t="s">
        <v>4</v>
      </c>
      <c r="F296" s="4">
        <v>6860</v>
      </c>
      <c r="G296" s="5">
        <v>126</v>
      </c>
    </row>
    <row r="297" spans="3:7" x14ac:dyDescent="0.3">
      <c r="C297" t="s">
        <v>40</v>
      </c>
      <c r="D297" t="s">
        <v>37</v>
      </c>
      <c r="E297" t="s">
        <v>29</v>
      </c>
      <c r="F297" s="4">
        <v>9002</v>
      </c>
      <c r="G297" s="5">
        <v>72</v>
      </c>
    </row>
    <row r="298" spans="3:7" x14ac:dyDescent="0.3">
      <c r="C298" t="s">
        <v>6</v>
      </c>
      <c r="D298" t="s">
        <v>36</v>
      </c>
      <c r="E298" t="s">
        <v>29</v>
      </c>
      <c r="F298" s="4">
        <v>1400</v>
      </c>
      <c r="G298" s="5">
        <v>135</v>
      </c>
    </row>
    <row r="299" spans="3:7" x14ac:dyDescent="0.3">
      <c r="C299" t="s">
        <v>10</v>
      </c>
      <c r="D299" t="s">
        <v>34</v>
      </c>
      <c r="E299" t="s">
        <v>22</v>
      </c>
      <c r="F299" s="4">
        <v>4053</v>
      </c>
      <c r="G299" s="5">
        <v>24</v>
      </c>
    </row>
    <row r="300" spans="3:7" x14ac:dyDescent="0.3">
      <c r="C300" t="s">
        <v>7</v>
      </c>
      <c r="D300" t="s">
        <v>36</v>
      </c>
      <c r="E300" t="s">
        <v>31</v>
      </c>
      <c r="F300" s="4">
        <v>2149</v>
      </c>
      <c r="G300" s="5">
        <v>117</v>
      </c>
    </row>
    <row r="301" spans="3:7" x14ac:dyDescent="0.3">
      <c r="C301" t="s">
        <v>3</v>
      </c>
      <c r="D301" t="s">
        <v>39</v>
      </c>
      <c r="E301" t="s">
        <v>29</v>
      </c>
      <c r="F301" s="4">
        <v>3640</v>
      </c>
      <c r="G301" s="5">
        <v>51</v>
      </c>
    </row>
    <row r="302" spans="3:7" x14ac:dyDescent="0.3">
      <c r="C302" t="s">
        <v>2</v>
      </c>
      <c r="D302" t="s">
        <v>39</v>
      </c>
      <c r="E302" t="s">
        <v>23</v>
      </c>
      <c r="F302" s="4">
        <v>630</v>
      </c>
      <c r="G302" s="5">
        <v>36</v>
      </c>
    </row>
    <row r="303" spans="3:7" x14ac:dyDescent="0.3">
      <c r="C303" t="s">
        <v>9</v>
      </c>
      <c r="D303" t="s">
        <v>35</v>
      </c>
      <c r="E303" t="s">
        <v>27</v>
      </c>
      <c r="F303" s="4">
        <v>2429</v>
      </c>
      <c r="G303" s="5">
        <v>144</v>
      </c>
    </row>
    <row r="304" spans="3:7" x14ac:dyDescent="0.3">
      <c r="C304" t="s">
        <v>9</v>
      </c>
      <c r="D304" t="s">
        <v>36</v>
      </c>
      <c r="E304" t="s">
        <v>25</v>
      </c>
      <c r="F304" s="4">
        <v>2142</v>
      </c>
      <c r="G304" s="5">
        <v>114</v>
      </c>
    </row>
    <row r="305" spans="3:7" x14ac:dyDescent="0.3">
      <c r="C305" t="s">
        <v>7</v>
      </c>
      <c r="D305" t="s">
        <v>37</v>
      </c>
      <c r="E305" t="s">
        <v>30</v>
      </c>
      <c r="F305" s="4">
        <v>6454</v>
      </c>
      <c r="G305" s="5">
        <v>54</v>
      </c>
    </row>
    <row r="306" spans="3:7" x14ac:dyDescent="0.3">
      <c r="C306" t="s">
        <v>7</v>
      </c>
      <c r="D306" t="s">
        <v>37</v>
      </c>
      <c r="E306" t="s">
        <v>16</v>
      </c>
      <c r="F306" s="4">
        <v>4487</v>
      </c>
      <c r="G306" s="5">
        <v>333</v>
      </c>
    </row>
    <row r="307" spans="3:7" x14ac:dyDescent="0.3">
      <c r="C307" t="s">
        <v>3</v>
      </c>
      <c r="D307" t="s">
        <v>37</v>
      </c>
      <c r="E307" t="s">
        <v>4</v>
      </c>
      <c r="F307" s="4">
        <v>938</v>
      </c>
      <c r="G307" s="5">
        <v>366</v>
      </c>
    </row>
    <row r="308" spans="3:7" x14ac:dyDescent="0.3">
      <c r="C308" t="s">
        <v>3</v>
      </c>
      <c r="D308" t="s">
        <v>38</v>
      </c>
      <c r="E308" t="s">
        <v>26</v>
      </c>
      <c r="F308" s="4">
        <v>8841</v>
      </c>
      <c r="G308" s="5">
        <v>303</v>
      </c>
    </row>
    <row r="309" spans="3:7" x14ac:dyDescent="0.3">
      <c r="C309" t="s">
        <v>2</v>
      </c>
      <c r="D309" t="s">
        <v>39</v>
      </c>
      <c r="E309" t="s">
        <v>33</v>
      </c>
      <c r="F309" s="4">
        <v>4018</v>
      </c>
      <c r="G309" s="5">
        <v>126</v>
      </c>
    </row>
    <row r="310" spans="3:7" x14ac:dyDescent="0.3">
      <c r="C310" t="s">
        <v>41</v>
      </c>
      <c r="D310" t="s">
        <v>37</v>
      </c>
      <c r="E310" t="s">
        <v>15</v>
      </c>
      <c r="F310" s="4">
        <v>714</v>
      </c>
      <c r="G310" s="5">
        <v>231</v>
      </c>
    </row>
    <row r="311" spans="3:7" x14ac:dyDescent="0.3">
      <c r="C311" t="s">
        <v>9</v>
      </c>
      <c r="D311" t="s">
        <v>38</v>
      </c>
      <c r="E311" t="s">
        <v>25</v>
      </c>
      <c r="F311" s="4">
        <v>3850</v>
      </c>
      <c r="G311" s="5">
        <v>102</v>
      </c>
    </row>
    <row r="312" spans="3:7" x14ac:dyDescent="0.3">
      <c r="F312" s="4"/>
      <c r="G312" s="5"/>
    </row>
    <row r="313" spans="3:7" x14ac:dyDescent="0.3">
      <c r="F313" s="4"/>
      <c r="G313" s="5"/>
    </row>
    <row r="314" spans="3:7" x14ac:dyDescent="0.3">
      <c r="F314" s="4"/>
      <c r="G314" s="5"/>
    </row>
    <row r="315" spans="3:7" x14ac:dyDescent="0.3">
      <c r="F315" s="4"/>
      <c r="G315" s="5"/>
    </row>
    <row r="316" spans="3:7" x14ac:dyDescent="0.3">
      <c r="F316" s="4"/>
      <c r="G316" s="5"/>
    </row>
    <row r="317" spans="3:7" x14ac:dyDescent="0.3">
      <c r="F317" s="4"/>
      <c r="G317" s="5"/>
    </row>
    <row r="318" spans="3:7" x14ac:dyDescent="0.3">
      <c r="F318" s="4"/>
      <c r="G318" s="5"/>
    </row>
    <row r="319" spans="3:7" x14ac:dyDescent="0.3">
      <c r="F319" s="4"/>
      <c r="G319" s="5"/>
    </row>
    <row r="320" spans="3:7" x14ac:dyDescent="0.3">
      <c r="F320" s="4"/>
      <c r="G320" s="5"/>
    </row>
    <row r="321" spans="6:7" x14ac:dyDescent="0.3">
      <c r="F321" s="4"/>
      <c r="G321" s="5"/>
    </row>
    <row r="322" spans="6:7" x14ac:dyDescent="0.3">
      <c r="F322" s="4"/>
      <c r="G322" s="5"/>
    </row>
    <row r="323" spans="6:7" x14ac:dyDescent="0.3">
      <c r="F323" s="4"/>
      <c r="G323" s="5"/>
    </row>
    <row r="324" spans="6:7" x14ac:dyDescent="0.3">
      <c r="F324" s="4"/>
      <c r="G324" s="5"/>
    </row>
    <row r="325" spans="6:7" x14ac:dyDescent="0.3">
      <c r="F325" s="4"/>
      <c r="G325" s="5"/>
    </row>
    <row r="326" spans="6:7" x14ac:dyDescent="0.3">
      <c r="F326" s="4"/>
      <c r="G326" s="5"/>
    </row>
    <row r="327" spans="6:7" x14ac:dyDescent="0.3">
      <c r="F327" s="4"/>
      <c r="G327" s="5"/>
    </row>
    <row r="328" spans="6:7" x14ac:dyDescent="0.3">
      <c r="F328" s="4"/>
      <c r="G328" s="5"/>
    </row>
    <row r="329" spans="6:7" x14ac:dyDescent="0.3">
      <c r="F329" s="4"/>
      <c r="G329" s="5"/>
    </row>
    <row r="330" spans="6:7" x14ac:dyDescent="0.3">
      <c r="F330" s="4"/>
      <c r="G330" s="5"/>
    </row>
    <row r="331" spans="6:7" x14ac:dyDescent="0.3">
      <c r="F331" s="4"/>
      <c r="G331" s="5"/>
    </row>
    <row r="332" spans="6:7" x14ac:dyDescent="0.3">
      <c r="F332" s="4"/>
      <c r="G332" s="5"/>
    </row>
    <row r="333" spans="6:7" x14ac:dyDescent="0.3">
      <c r="F333" s="4"/>
      <c r="G333" s="5"/>
    </row>
    <row r="334" spans="6:7" x14ac:dyDescent="0.3">
      <c r="F334" s="4"/>
      <c r="G334" s="5"/>
    </row>
    <row r="335" spans="6:7" x14ac:dyDescent="0.3">
      <c r="F335" s="4"/>
      <c r="G335" s="5"/>
    </row>
    <row r="336" spans="6:7" x14ac:dyDescent="0.3">
      <c r="F336" s="4"/>
      <c r="G336" s="5"/>
    </row>
    <row r="337" spans="6:7" x14ac:dyDescent="0.3">
      <c r="F337" s="4"/>
      <c r="G337" s="5"/>
    </row>
    <row r="338" spans="6:7" x14ac:dyDescent="0.3">
      <c r="F338" s="4"/>
      <c r="G338" s="5"/>
    </row>
    <row r="339" spans="6:7" x14ac:dyDescent="0.3">
      <c r="F339" s="4"/>
      <c r="G339" s="5"/>
    </row>
    <row r="340" spans="6:7" x14ac:dyDescent="0.3">
      <c r="F340" s="4"/>
      <c r="G340" s="5"/>
    </row>
    <row r="341" spans="6:7" x14ac:dyDescent="0.3">
      <c r="F341" s="4"/>
      <c r="G341" s="5"/>
    </row>
    <row r="342" spans="6:7" x14ac:dyDescent="0.3">
      <c r="F342" s="4"/>
      <c r="G342" s="5"/>
    </row>
    <row r="343" spans="6:7" x14ac:dyDescent="0.3">
      <c r="F343" s="4"/>
      <c r="G343" s="5"/>
    </row>
    <row r="344" spans="6:7" x14ac:dyDescent="0.3">
      <c r="F344" s="4"/>
      <c r="G344" s="5"/>
    </row>
    <row r="345" spans="6:7" x14ac:dyDescent="0.3">
      <c r="F345" s="4"/>
      <c r="G345" s="5"/>
    </row>
    <row r="346" spans="6:7" x14ac:dyDescent="0.3">
      <c r="F346" s="4"/>
      <c r="G346" s="5"/>
    </row>
    <row r="347" spans="6:7" x14ac:dyDescent="0.3">
      <c r="F347" s="4"/>
      <c r="G347" s="5"/>
    </row>
    <row r="348" spans="6:7" x14ac:dyDescent="0.3">
      <c r="F348" s="4"/>
      <c r="G348" s="5"/>
    </row>
    <row r="349" spans="6:7" x14ac:dyDescent="0.3">
      <c r="F349" s="4"/>
      <c r="G349" s="5"/>
    </row>
    <row r="350" spans="6:7" x14ac:dyDescent="0.3">
      <c r="F350" s="4"/>
      <c r="G350" s="5"/>
    </row>
    <row r="351" spans="6:7" x14ac:dyDescent="0.3">
      <c r="F351" s="4"/>
      <c r="G351" s="5"/>
    </row>
    <row r="352" spans="6:7" x14ac:dyDescent="0.3">
      <c r="F352" s="4"/>
      <c r="G352" s="5"/>
    </row>
    <row r="353" spans="6:7" x14ac:dyDescent="0.3">
      <c r="F353" s="4"/>
      <c r="G353" s="5"/>
    </row>
    <row r="354" spans="6:7" x14ac:dyDescent="0.3">
      <c r="F354" s="4"/>
      <c r="G354" s="5"/>
    </row>
    <row r="355" spans="6:7" x14ac:dyDescent="0.3">
      <c r="F355" s="4"/>
      <c r="G355" s="5"/>
    </row>
    <row r="356" spans="6:7" x14ac:dyDescent="0.3">
      <c r="F356" s="4"/>
      <c r="G356" s="5"/>
    </row>
    <row r="357" spans="6:7" x14ac:dyDescent="0.3">
      <c r="F357" s="4"/>
      <c r="G357" s="5"/>
    </row>
    <row r="358" spans="6:7" x14ac:dyDescent="0.3">
      <c r="F358" s="4"/>
      <c r="G358" s="5"/>
    </row>
    <row r="359" spans="6:7" x14ac:dyDescent="0.3">
      <c r="F359" s="4"/>
      <c r="G359" s="5"/>
    </row>
    <row r="360" spans="6:7" x14ac:dyDescent="0.3">
      <c r="F360" s="4"/>
      <c r="G360" s="5"/>
    </row>
    <row r="361" spans="6:7" x14ac:dyDescent="0.3">
      <c r="F361" s="4"/>
      <c r="G361" s="5"/>
    </row>
    <row r="362" spans="6:7" x14ac:dyDescent="0.3">
      <c r="F362" s="4"/>
      <c r="G362" s="5"/>
    </row>
    <row r="363" spans="6:7" x14ac:dyDescent="0.3">
      <c r="F363" s="4"/>
      <c r="G363" s="5"/>
    </row>
    <row r="364" spans="6:7" x14ac:dyDescent="0.3">
      <c r="F364" s="4"/>
      <c r="G364" s="5"/>
    </row>
    <row r="365" spans="6:7" x14ac:dyDescent="0.3">
      <c r="F365" s="4"/>
      <c r="G365" s="5"/>
    </row>
    <row r="366" spans="6:7" x14ac:dyDescent="0.3">
      <c r="F366" s="4"/>
      <c r="G366" s="5"/>
    </row>
    <row r="367" spans="6:7" x14ac:dyDescent="0.3">
      <c r="F367" s="4"/>
      <c r="G367" s="5"/>
    </row>
    <row r="368" spans="6:7" x14ac:dyDescent="0.3">
      <c r="F368" s="4"/>
      <c r="G368" s="5"/>
    </row>
    <row r="369" spans="6:7" x14ac:dyDescent="0.3">
      <c r="F369" s="4"/>
      <c r="G369" s="5"/>
    </row>
    <row r="370" spans="6:7" x14ac:dyDescent="0.3">
      <c r="F370" s="4"/>
      <c r="G370" s="5"/>
    </row>
    <row r="371" spans="6:7" x14ac:dyDescent="0.3">
      <c r="F371" s="4"/>
      <c r="G371" s="5"/>
    </row>
    <row r="372" spans="6:7" x14ac:dyDescent="0.3">
      <c r="F372" s="4"/>
      <c r="G372" s="5"/>
    </row>
    <row r="373" spans="6:7" x14ac:dyDescent="0.3">
      <c r="F373" s="4"/>
      <c r="G373" s="5"/>
    </row>
    <row r="374" spans="6:7" x14ac:dyDescent="0.3">
      <c r="F374" s="4"/>
      <c r="G374" s="5"/>
    </row>
    <row r="375" spans="6:7" x14ac:dyDescent="0.3">
      <c r="F375" s="4"/>
      <c r="G375" s="5"/>
    </row>
    <row r="376" spans="6:7" x14ac:dyDescent="0.3">
      <c r="F376" s="4"/>
      <c r="G376" s="5"/>
    </row>
    <row r="377" spans="6:7" x14ac:dyDescent="0.3">
      <c r="F377" s="4"/>
      <c r="G377" s="5"/>
    </row>
    <row r="378" spans="6:7" x14ac:dyDescent="0.3">
      <c r="F378" s="4"/>
      <c r="G378" s="5"/>
    </row>
    <row r="379" spans="6:7" x14ac:dyDescent="0.3">
      <c r="F379" s="4"/>
      <c r="G379" s="5"/>
    </row>
    <row r="380" spans="6:7" x14ac:dyDescent="0.3">
      <c r="F380" s="4"/>
      <c r="G380" s="5"/>
    </row>
    <row r="381" spans="6:7" x14ac:dyDescent="0.3">
      <c r="F381" s="4"/>
      <c r="G381" s="5"/>
    </row>
    <row r="382" spans="6:7" x14ac:dyDescent="0.3">
      <c r="F382" s="4"/>
      <c r="G382" s="5"/>
    </row>
    <row r="383" spans="6:7" x14ac:dyDescent="0.3">
      <c r="F383" s="4"/>
      <c r="G383" s="5"/>
    </row>
    <row r="384" spans="6:7" x14ac:dyDescent="0.3">
      <c r="F384" s="4"/>
      <c r="G384" s="5"/>
    </row>
    <row r="385" spans="6:7" x14ac:dyDescent="0.3">
      <c r="F385" s="4"/>
      <c r="G385" s="5"/>
    </row>
    <row r="386" spans="6:7" x14ac:dyDescent="0.3">
      <c r="F386" s="4"/>
      <c r="G386" s="5"/>
    </row>
    <row r="387" spans="6:7" x14ac:dyDescent="0.3">
      <c r="F387" s="4"/>
      <c r="G387" s="5"/>
    </row>
    <row r="388" spans="6:7" x14ac:dyDescent="0.3">
      <c r="F388" s="4"/>
      <c r="G388" s="5"/>
    </row>
    <row r="389" spans="6:7" x14ac:dyDescent="0.3">
      <c r="F389" s="4"/>
      <c r="G389" s="5"/>
    </row>
    <row r="390" spans="6:7" x14ac:dyDescent="0.3">
      <c r="F390" s="4"/>
      <c r="G390" s="5"/>
    </row>
    <row r="391" spans="6:7" x14ac:dyDescent="0.3">
      <c r="F391" s="4"/>
      <c r="G391" s="5"/>
    </row>
    <row r="392" spans="6:7" x14ac:dyDescent="0.3">
      <c r="F392" s="4"/>
      <c r="G392" s="5"/>
    </row>
    <row r="393" spans="6:7" x14ac:dyDescent="0.3">
      <c r="F393" s="4"/>
      <c r="G393" s="5"/>
    </row>
    <row r="394" spans="6:7" x14ac:dyDescent="0.3">
      <c r="F394" s="4"/>
      <c r="G394" s="5"/>
    </row>
    <row r="395" spans="6:7" x14ac:dyDescent="0.3">
      <c r="F395" s="4"/>
      <c r="G395" s="5"/>
    </row>
    <row r="396" spans="6:7" x14ac:dyDescent="0.3">
      <c r="F396" s="4"/>
      <c r="G396" s="5"/>
    </row>
    <row r="397" spans="6:7" x14ac:dyDescent="0.3">
      <c r="F397" s="4"/>
      <c r="G397" s="5"/>
    </row>
    <row r="398" spans="6:7" x14ac:dyDescent="0.3">
      <c r="F398" s="4"/>
      <c r="G398" s="5"/>
    </row>
    <row r="399" spans="6:7" x14ac:dyDescent="0.3">
      <c r="F399" s="4"/>
      <c r="G399" s="5"/>
    </row>
    <row r="400" spans="6:7" x14ac:dyDescent="0.3">
      <c r="F400" s="4"/>
      <c r="G400" s="5"/>
    </row>
    <row r="401" spans="6:7" x14ac:dyDescent="0.3">
      <c r="F401" s="4"/>
      <c r="G401" s="5"/>
    </row>
    <row r="402" spans="6:7" x14ac:dyDescent="0.3">
      <c r="F402" s="4"/>
      <c r="G402" s="5"/>
    </row>
    <row r="403" spans="6:7" x14ac:dyDescent="0.3">
      <c r="F403" s="4"/>
      <c r="G403" s="5"/>
    </row>
    <row r="404" spans="6:7" x14ac:dyDescent="0.3">
      <c r="F404" s="4"/>
      <c r="G404" s="5"/>
    </row>
    <row r="405" spans="6:7" x14ac:dyDescent="0.3">
      <c r="F405" s="4"/>
      <c r="G405" s="5"/>
    </row>
    <row r="406" spans="6:7" x14ac:dyDescent="0.3">
      <c r="F406" s="4"/>
      <c r="G406" s="5"/>
    </row>
    <row r="407" spans="6:7" x14ac:dyDescent="0.3">
      <c r="F407" s="4"/>
      <c r="G407" s="5"/>
    </row>
    <row r="408" spans="6:7" x14ac:dyDescent="0.3">
      <c r="F408" s="4"/>
      <c r="G408" s="5"/>
    </row>
    <row r="409" spans="6:7" x14ac:dyDescent="0.3">
      <c r="F409" s="4"/>
      <c r="G409" s="5"/>
    </row>
    <row r="410" spans="6:7" x14ac:dyDescent="0.3">
      <c r="F410" s="4"/>
      <c r="G410" s="5"/>
    </row>
    <row r="411" spans="6:7" x14ac:dyDescent="0.3">
      <c r="F411" s="4"/>
      <c r="G411" s="5"/>
    </row>
    <row r="412" spans="6:7" x14ac:dyDescent="0.3">
      <c r="F412" s="4"/>
      <c r="G412" s="5"/>
    </row>
    <row r="413" spans="6:7" x14ac:dyDescent="0.3">
      <c r="F413" s="4"/>
      <c r="G413" s="5"/>
    </row>
    <row r="414" spans="6:7" x14ac:dyDescent="0.3">
      <c r="F414" s="4"/>
      <c r="G414" s="5"/>
    </row>
    <row r="415" spans="6:7" x14ac:dyDescent="0.3">
      <c r="F415" s="4"/>
      <c r="G415" s="5"/>
    </row>
    <row r="416" spans="6:7" x14ac:dyDescent="0.3">
      <c r="F416" s="4"/>
      <c r="G416" s="5"/>
    </row>
    <row r="417" spans="6:7" x14ac:dyDescent="0.3">
      <c r="F417" s="4"/>
      <c r="G417" s="5"/>
    </row>
    <row r="418" spans="6:7" x14ac:dyDescent="0.3">
      <c r="F418" s="4"/>
      <c r="G418" s="5"/>
    </row>
    <row r="419" spans="6:7" x14ac:dyDescent="0.3">
      <c r="F419" s="4"/>
      <c r="G419" s="5"/>
    </row>
    <row r="420" spans="6:7" x14ac:dyDescent="0.3">
      <c r="F420" s="4"/>
      <c r="G420" s="5"/>
    </row>
    <row r="421" spans="6:7" x14ac:dyDescent="0.3">
      <c r="F421" s="4"/>
      <c r="G421" s="5"/>
    </row>
    <row r="422" spans="6:7" x14ac:dyDescent="0.3">
      <c r="F422" s="4"/>
      <c r="G422" s="5"/>
    </row>
    <row r="423" spans="6:7" x14ac:dyDescent="0.3">
      <c r="F423" s="4"/>
      <c r="G423" s="5"/>
    </row>
    <row r="424" spans="6:7" x14ac:dyDescent="0.3">
      <c r="F424" s="4"/>
      <c r="G424" s="5"/>
    </row>
    <row r="425" spans="6:7" x14ac:dyDescent="0.3">
      <c r="F425" s="4"/>
      <c r="G425" s="5"/>
    </row>
    <row r="426" spans="6:7" x14ac:dyDescent="0.3">
      <c r="F426" s="4"/>
      <c r="G426" s="5"/>
    </row>
    <row r="427" spans="6:7" x14ac:dyDescent="0.3">
      <c r="F427" s="4"/>
      <c r="G427" s="5"/>
    </row>
    <row r="428" spans="6:7" x14ac:dyDescent="0.3">
      <c r="F428" s="4"/>
      <c r="G428" s="5"/>
    </row>
    <row r="429" spans="6:7" x14ac:dyDescent="0.3">
      <c r="F429" s="4"/>
      <c r="G429" s="5"/>
    </row>
    <row r="430" spans="6:7" x14ac:dyDescent="0.3">
      <c r="F430" s="4"/>
      <c r="G430" s="5"/>
    </row>
    <row r="431" spans="6:7" x14ac:dyDescent="0.3">
      <c r="F431" s="4"/>
      <c r="G431" s="5"/>
    </row>
    <row r="432" spans="6:7" x14ac:dyDescent="0.3">
      <c r="F432" s="4"/>
      <c r="G432" s="5"/>
    </row>
    <row r="433" spans="6:7" x14ac:dyDescent="0.3">
      <c r="F433" s="4"/>
      <c r="G433" s="5"/>
    </row>
    <row r="434" spans="6:7" x14ac:dyDescent="0.3">
      <c r="F434" s="4"/>
      <c r="G434" s="5"/>
    </row>
    <row r="435" spans="6:7" x14ac:dyDescent="0.3">
      <c r="F435" s="4"/>
      <c r="G435" s="5"/>
    </row>
    <row r="436" spans="6:7" x14ac:dyDescent="0.3">
      <c r="F436" s="4"/>
      <c r="G436" s="5"/>
    </row>
    <row r="437" spans="6:7" x14ac:dyDescent="0.3">
      <c r="F437" s="4"/>
      <c r="G437" s="5"/>
    </row>
    <row r="438" spans="6:7" x14ac:dyDescent="0.3">
      <c r="F438" s="4"/>
      <c r="G438" s="5"/>
    </row>
    <row r="439" spans="6:7" x14ac:dyDescent="0.3">
      <c r="F439" s="4"/>
      <c r="G439" s="5"/>
    </row>
    <row r="440" spans="6:7" x14ac:dyDescent="0.3">
      <c r="F440" s="4"/>
      <c r="G440" s="5"/>
    </row>
    <row r="441" spans="6:7" x14ac:dyDescent="0.3">
      <c r="F441" s="4"/>
      <c r="G441" s="5"/>
    </row>
    <row r="442" spans="6:7" x14ac:dyDescent="0.3">
      <c r="F442" s="4"/>
      <c r="G442" s="5"/>
    </row>
    <row r="443" spans="6:7" x14ac:dyDescent="0.3">
      <c r="F443" s="4"/>
      <c r="G443" s="5"/>
    </row>
    <row r="444" spans="6:7" x14ac:dyDescent="0.3">
      <c r="F444" s="4"/>
      <c r="G444" s="5"/>
    </row>
    <row r="445" spans="6:7" x14ac:dyDescent="0.3">
      <c r="F445" s="4"/>
      <c r="G445" s="5"/>
    </row>
    <row r="446" spans="6:7" x14ac:dyDescent="0.3">
      <c r="F446" s="4"/>
      <c r="G446" s="5"/>
    </row>
    <row r="447" spans="6:7" x14ac:dyDescent="0.3">
      <c r="F447" s="4"/>
      <c r="G447" s="5"/>
    </row>
    <row r="448" spans="6:7" x14ac:dyDescent="0.3">
      <c r="F448" s="4"/>
      <c r="G448" s="5"/>
    </row>
    <row r="449" spans="6:7" x14ac:dyDescent="0.3">
      <c r="F449" s="4"/>
      <c r="G449" s="5"/>
    </row>
    <row r="450" spans="6:7" x14ac:dyDescent="0.3">
      <c r="F450" s="4"/>
      <c r="G450" s="5"/>
    </row>
    <row r="451" spans="6:7" x14ac:dyDescent="0.3">
      <c r="F451" s="4"/>
      <c r="G451" s="5"/>
    </row>
    <row r="452" spans="6:7" x14ac:dyDescent="0.3">
      <c r="F452" s="4"/>
      <c r="G452" s="5"/>
    </row>
    <row r="453" spans="6:7" x14ac:dyDescent="0.3">
      <c r="F453" s="4"/>
      <c r="G453" s="5"/>
    </row>
    <row r="454" spans="6:7" x14ac:dyDescent="0.3">
      <c r="F454" s="4"/>
      <c r="G454" s="5"/>
    </row>
    <row r="455" spans="6:7" x14ac:dyDescent="0.3">
      <c r="F455" s="4"/>
      <c r="G455" s="5"/>
    </row>
    <row r="456" spans="6:7" x14ac:dyDescent="0.3">
      <c r="F456" s="4"/>
      <c r="G456" s="5"/>
    </row>
    <row r="457" spans="6:7" x14ac:dyDescent="0.3">
      <c r="F457" s="4"/>
      <c r="G457" s="5"/>
    </row>
    <row r="458" spans="6:7" x14ac:dyDescent="0.3">
      <c r="F458" s="4"/>
      <c r="G458" s="5"/>
    </row>
    <row r="459" spans="6:7" x14ac:dyDescent="0.3">
      <c r="F459" s="4"/>
      <c r="G459" s="5"/>
    </row>
    <row r="460" spans="6:7" x14ac:dyDescent="0.3">
      <c r="F460" s="4"/>
      <c r="G460" s="5"/>
    </row>
    <row r="461" spans="6:7" x14ac:dyDescent="0.3">
      <c r="F461" s="4"/>
      <c r="G461" s="5"/>
    </row>
    <row r="462" spans="6:7" x14ac:dyDescent="0.3">
      <c r="F462" s="4"/>
      <c r="G462" s="5"/>
    </row>
    <row r="463" spans="6:7" x14ac:dyDescent="0.3">
      <c r="F463" s="4"/>
      <c r="G463" s="5"/>
    </row>
    <row r="464" spans="6:7" x14ac:dyDescent="0.3">
      <c r="F464" s="4"/>
      <c r="G464" s="5"/>
    </row>
    <row r="465" spans="6:7" x14ac:dyDescent="0.3">
      <c r="F465" s="4"/>
      <c r="G465" s="5"/>
    </row>
    <row r="466" spans="6:7" x14ac:dyDescent="0.3">
      <c r="F466" s="4"/>
      <c r="G466" s="5"/>
    </row>
    <row r="467" spans="6:7" x14ac:dyDescent="0.3">
      <c r="F467" s="4"/>
      <c r="G467" s="5"/>
    </row>
    <row r="468" spans="6:7" x14ac:dyDescent="0.3">
      <c r="F468" s="4"/>
      <c r="G468" s="5"/>
    </row>
    <row r="469" spans="6:7" x14ac:dyDescent="0.3">
      <c r="F469" s="4"/>
      <c r="G469" s="5"/>
    </row>
    <row r="470" spans="6:7" x14ac:dyDescent="0.3">
      <c r="F470" s="4"/>
      <c r="G470" s="5"/>
    </row>
    <row r="471" spans="6:7" x14ac:dyDescent="0.3">
      <c r="F471" s="4"/>
      <c r="G471" s="5"/>
    </row>
    <row r="472" spans="6:7" x14ac:dyDescent="0.3">
      <c r="F472" s="4"/>
      <c r="G472" s="5"/>
    </row>
    <row r="473" spans="6:7" x14ac:dyDescent="0.3">
      <c r="F473" s="4"/>
      <c r="G473" s="5"/>
    </row>
    <row r="474" spans="6:7" x14ac:dyDescent="0.3">
      <c r="F474" s="4"/>
      <c r="G474" s="5"/>
    </row>
    <row r="475" spans="6:7" x14ac:dyDescent="0.3">
      <c r="F475" s="4"/>
      <c r="G475" s="5"/>
    </row>
    <row r="476" spans="6:7" x14ac:dyDescent="0.3">
      <c r="F476" s="4"/>
      <c r="G476" s="5"/>
    </row>
    <row r="477" spans="6:7" x14ac:dyDescent="0.3">
      <c r="F477" s="4"/>
      <c r="G477" s="5"/>
    </row>
    <row r="478" spans="6:7" x14ac:dyDescent="0.3">
      <c r="F478" s="4"/>
      <c r="G478" s="5"/>
    </row>
    <row r="479" spans="6:7" x14ac:dyDescent="0.3">
      <c r="F479" s="4"/>
      <c r="G479" s="5"/>
    </row>
    <row r="480" spans="6:7" x14ac:dyDescent="0.3">
      <c r="F480" s="4"/>
      <c r="G480" s="5"/>
    </row>
    <row r="481" spans="6:7" x14ac:dyDescent="0.3">
      <c r="F481" s="4"/>
      <c r="G481" s="5"/>
    </row>
    <row r="482" spans="6:7" x14ac:dyDescent="0.3">
      <c r="F482" s="4"/>
      <c r="G482" s="5"/>
    </row>
    <row r="483" spans="6:7" x14ac:dyDescent="0.3">
      <c r="F483" s="4"/>
      <c r="G483" s="5"/>
    </row>
    <row r="484" spans="6:7" x14ac:dyDescent="0.3">
      <c r="F484" s="4"/>
      <c r="G484" s="5"/>
    </row>
    <row r="485" spans="6:7" x14ac:dyDescent="0.3">
      <c r="F485" s="4"/>
      <c r="G485" s="5"/>
    </row>
    <row r="486" spans="6:7" x14ac:dyDescent="0.3">
      <c r="F486" s="4"/>
      <c r="G486" s="5"/>
    </row>
    <row r="487" spans="6:7" x14ac:dyDescent="0.3">
      <c r="F487" s="4"/>
      <c r="G487" s="5"/>
    </row>
    <row r="488" spans="6:7" x14ac:dyDescent="0.3">
      <c r="F488" s="4"/>
      <c r="G488" s="5"/>
    </row>
    <row r="489" spans="6:7" x14ac:dyDescent="0.3">
      <c r="F489" s="4"/>
      <c r="G489" s="5"/>
    </row>
    <row r="490" spans="6:7" x14ac:dyDescent="0.3">
      <c r="F490" s="4"/>
      <c r="G490" s="5"/>
    </row>
    <row r="491" spans="6:7" x14ac:dyDescent="0.3">
      <c r="F491" s="4"/>
      <c r="G491" s="5"/>
    </row>
    <row r="492" spans="6:7" x14ac:dyDescent="0.3">
      <c r="F492" s="4"/>
      <c r="G492" s="5"/>
    </row>
    <row r="493" spans="6:7" x14ac:dyDescent="0.3">
      <c r="F493" s="4"/>
      <c r="G493" s="5"/>
    </row>
    <row r="494" spans="6:7" x14ac:dyDescent="0.3">
      <c r="F494" s="4"/>
      <c r="G494" s="5"/>
    </row>
    <row r="495" spans="6:7" x14ac:dyDescent="0.3">
      <c r="F495" s="4"/>
      <c r="G495" s="5"/>
    </row>
    <row r="496" spans="6:7" x14ac:dyDescent="0.3">
      <c r="F496" s="4"/>
      <c r="G496" s="5"/>
    </row>
    <row r="497" spans="6:7" x14ac:dyDescent="0.3">
      <c r="F497" s="4"/>
      <c r="G497" s="5"/>
    </row>
    <row r="498" spans="6:7" x14ac:dyDescent="0.3">
      <c r="F498" s="4"/>
      <c r="G498" s="5"/>
    </row>
    <row r="499" spans="6:7" x14ac:dyDescent="0.3">
      <c r="F499" s="4"/>
      <c r="G499" s="5"/>
    </row>
    <row r="500" spans="6:7" x14ac:dyDescent="0.3">
      <c r="F500" s="4"/>
      <c r="G500" s="5"/>
    </row>
    <row r="501" spans="6:7" x14ac:dyDescent="0.3">
      <c r="F501" s="4"/>
      <c r="G501" s="5"/>
    </row>
    <row r="502" spans="6:7" x14ac:dyDescent="0.3">
      <c r="F502" s="4"/>
      <c r="G502" s="5"/>
    </row>
    <row r="503" spans="6:7" x14ac:dyDescent="0.3">
      <c r="F503" s="4"/>
      <c r="G503" s="5"/>
    </row>
    <row r="504" spans="6:7" x14ac:dyDescent="0.3">
      <c r="F504" s="4"/>
      <c r="G504" s="5"/>
    </row>
    <row r="505" spans="6:7" x14ac:dyDescent="0.3">
      <c r="F505" s="4"/>
      <c r="G505" s="5"/>
    </row>
    <row r="506" spans="6:7" x14ac:dyDescent="0.3">
      <c r="F506" s="4"/>
      <c r="G506" s="5"/>
    </row>
    <row r="507" spans="6:7" x14ac:dyDescent="0.3">
      <c r="F507" s="4"/>
      <c r="G507" s="5"/>
    </row>
    <row r="508" spans="6:7" x14ac:dyDescent="0.3">
      <c r="F508" s="4"/>
      <c r="G508" s="5"/>
    </row>
    <row r="509" spans="6:7" x14ac:dyDescent="0.3">
      <c r="F509" s="4"/>
      <c r="G509" s="5"/>
    </row>
    <row r="510" spans="6:7" x14ac:dyDescent="0.3">
      <c r="F510" s="4"/>
      <c r="G510" s="5"/>
    </row>
    <row r="511" spans="6:7" x14ac:dyDescent="0.3">
      <c r="F511" s="4"/>
      <c r="G511" s="5"/>
    </row>
    <row r="512" spans="6:7" x14ac:dyDescent="0.3">
      <c r="F512" s="4"/>
      <c r="G512" s="5"/>
    </row>
    <row r="513" spans="6:7" x14ac:dyDescent="0.3">
      <c r="F513" s="4"/>
      <c r="G513" s="5"/>
    </row>
    <row r="514" spans="6:7" x14ac:dyDescent="0.3">
      <c r="F514" s="4"/>
      <c r="G514" s="5"/>
    </row>
    <row r="515" spans="6:7" x14ac:dyDescent="0.3">
      <c r="F515" s="4"/>
      <c r="G515" s="5"/>
    </row>
    <row r="516" spans="6:7" x14ac:dyDescent="0.3">
      <c r="F516" s="4"/>
      <c r="G516" s="5"/>
    </row>
    <row r="517" spans="6:7" x14ac:dyDescent="0.3">
      <c r="F517" s="4"/>
      <c r="G517" s="5"/>
    </row>
    <row r="518" spans="6:7" x14ac:dyDescent="0.3">
      <c r="F518" s="4"/>
      <c r="G518" s="5"/>
    </row>
    <row r="519" spans="6:7" x14ac:dyDescent="0.3">
      <c r="F519" s="4"/>
      <c r="G519" s="5"/>
    </row>
    <row r="520" spans="6:7" x14ac:dyDescent="0.3">
      <c r="F520" s="4"/>
      <c r="G520" s="5"/>
    </row>
    <row r="521" spans="6:7" x14ac:dyDescent="0.3">
      <c r="F521" s="4"/>
      <c r="G521" s="5"/>
    </row>
    <row r="522" spans="6:7" x14ac:dyDescent="0.3">
      <c r="F522" s="4"/>
      <c r="G522" s="5"/>
    </row>
    <row r="523" spans="6:7" x14ac:dyDescent="0.3">
      <c r="F523" s="4"/>
      <c r="G523" s="5"/>
    </row>
    <row r="524" spans="6:7" x14ac:dyDescent="0.3">
      <c r="F524" s="4"/>
      <c r="G524" s="5"/>
    </row>
    <row r="525" spans="6:7" x14ac:dyDescent="0.3">
      <c r="F525" s="4"/>
      <c r="G525" s="5"/>
    </row>
    <row r="526" spans="6:7" x14ac:dyDescent="0.3">
      <c r="F526" s="4"/>
      <c r="G526" s="5"/>
    </row>
    <row r="527" spans="6:7" x14ac:dyDescent="0.3">
      <c r="F527" s="4"/>
      <c r="G527" s="5"/>
    </row>
    <row r="528" spans="6:7" x14ac:dyDescent="0.3">
      <c r="F528" s="4"/>
      <c r="G528" s="5"/>
    </row>
    <row r="529" spans="6:7" x14ac:dyDescent="0.3">
      <c r="F529" s="4"/>
      <c r="G529" s="5"/>
    </row>
    <row r="530" spans="6:7" x14ac:dyDescent="0.3">
      <c r="F530" s="4"/>
      <c r="G530" s="5"/>
    </row>
    <row r="531" spans="6:7" x14ac:dyDescent="0.3">
      <c r="F531" s="4"/>
      <c r="G531" s="5"/>
    </row>
    <row r="532" spans="6:7" x14ac:dyDescent="0.3">
      <c r="F532" s="4"/>
      <c r="G532" s="5"/>
    </row>
    <row r="533" spans="6:7" x14ac:dyDescent="0.3">
      <c r="F533" s="4"/>
      <c r="G533" s="5"/>
    </row>
    <row r="534" spans="6:7" x14ac:dyDescent="0.3">
      <c r="F534" s="4"/>
      <c r="G534" s="5"/>
    </row>
    <row r="535" spans="6:7" x14ac:dyDescent="0.3">
      <c r="F535" s="4"/>
      <c r="G535" s="5"/>
    </row>
    <row r="536" spans="6:7" x14ac:dyDescent="0.3">
      <c r="F536" s="4"/>
      <c r="G536" s="5"/>
    </row>
    <row r="537" spans="6:7" x14ac:dyDescent="0.3">
      <c r="F537" s="4"/>
      <c r="G537" s="5"/>
    </row>
    <row r="538" spans="6:7" x14ac:dyDescent="0.3">
      <c r="F538" s="4"/>
      <c r="G538" s="5"/>
    </row>
    <row r="539" spans="6:7" x14ac:dyDescent="0.3">
      <c r="F539" s="4"/>
      <c r="G539" s="5"/>
    </row>
    <row r="540" spans="6:7" x14ac:dyDescent="0.3">
      <c r="F540" s="4"/>
      <c r="G540" s="5"/>
    </row>
    <row r="541" spans="6:7" x14ac:dyDescent="0.3">
      <c r="F541" s="4"/>
      <c r="G541" s="5"/>
    </row>
    <row r="542" spans="6:7" x14ac:dyDescent="0.3">
      <c r="F542" s="4"/>
      <c r="G542" s="5"/>
    </row>
    <row r="543" spans="6:7" x14ac:dyDescent="0.3">
      <c r="F543" s="4"/>
      <c r="G543" s="5"/>
    </row>
    <row r="544" spans="6:7" x14ac:dyDescent="0.3">
      <c r="F544" s="4"/>
      <c r="G544" s="5"/>
    </row>
    <row r="545" spans="6:7" x14ac:dyDescent="0.3">
      <c r="F545" s="4"/>
      <c r="G545" s="5"/>
    </row>
    <row r="546" spans="6:7" x14ac:dyDescent="0.3">
      <c r="F546" s="4"/>
      <c r="G546" s="5"/>
    </row>
    <row r="547" spans="6:7" x14ac:dyDescent="0.3">
      <c r="F547" s="4"/>
      <c r="G547" s="5"/>
    </row>
    <row r="548" spans="6:7" x14ac:dyDescent="0.3">
      <c r="F548" s="4"/>
      <c r="G548" s="5"/>
    </row>
    <row r="549" spans="6:7" x14ac:dyDescent="0.3">
      <c r="F549" s="4"/>
      <c r="G549" s="5"/>
    </row>
    <row r="550" spans="6:7" x14ac:dyDescent="0.3">
      <c r="F550" s="4"/>
      <c r="G550" s="5"/>
    </row>
    <row r="551" spans="6:7" x14ac:dyDescent="0.3">
      <c r="F551" s="4"/>
      <c r="G551" s="5"/>
    </row>
    <row r="552" spans="6:7" x14ac:dyDescent="0.3">
      <c r="F552" s="4"/>
      <c r="G552" s="5"/>
    </row>
    <row r="553" spans="6:7" x14ac:dyDescent="0.3">
      <c r="F553" s="4"/>
      <c r="G553" s="5"/>
    </row>
    <row r="554" spans="6:7" x14ac:dyDescent="0.3">
      <c r="F554" s="4"/>
      <c r="G554" s="5"/>
    </row>
    <row r="555" spans="6:7" x14ac:dyDescent="0.3">
      <c r="F555" s="4"/>
      <c r="G555" s="5"/>
    </row>
    <row r="556" spans="6:7" x14ac:dyDescent="0.3">
      <c r="F556" s="4"/>
      <c r="G556" s="5"/>
    </row>
    <row r="557" spans="6:7" x14ac:dyDescent="0.3">
      <c r="F557" s="4"/>
      <c r="G557" s="5"/>
    </row>
    <row r="558" spans="6:7" x14ac:dyDescent="0.3">
      <c r="F558" s="4"/>
      <c r="G558" s="5"/>
    </row>
    <row r="559" spans="6:7" x14ac:dyDescent="0.3">
      <c r="F559" s="4"/>
      <c r="G559" s="5"/>
    </row>
    <row r="560" spans="6:7" x14ac:dyDescent="0.3">
      <c r="F560" s="4"/>
      <c r="G560" s="5"/>
    </row>
    <row r="561" spans="6:7" x14ac:dyDescent="0.3">
      <c r="F561" s="4"/>
      <c r="G561" s="5"/>
    </row>
    <row r="562" spans="6:7" x14ac:dyDescent="0.3">
      <c r="F562" s="4"/>
      <c r="G562" s="5"/>
    </row>
    <row r="563" spans="6:7" x14ac:dyDescent="0.3">
      <c r="F563" s="4"/>
      <c r="G563" s="5"/>
    </row>
    <row r="564" spans="6:7" x14ac:dyDescent="0.3">
      <c r="F564" s="4"/>
      <c r="G564" s="5"/>
    </row>
    <row r="565" spans="6:7" x14ac:dyDescent="0.3">
      <c r="F565" s="4"/>
      <c r="G565" s="5"/>
    </row>
    <row r="566" spans="6:7" x14ac:dyDescent="0.3">
      <c r="F566" s="4"/>
      <c r="G566" s="5"/>
    </row>
    <row r="567" spans="6:7" x14ac:dyDescent="0.3">
      <c r="F567" s="4"/>
      <c r="G567" s="5"/>
    </row>
    <row r="568" spans="6:7" x14ac:dyDescent="0.3">
      <c r="F568" s="4"/>
      <c r="G568" s="5"/>
    </row>
    <row r="569" spans="6:7" x14ac:dyDescent="0.3">
      <c r="F569" s="4"/>
      <c r="G569" s="5"/>
    </row>
    <row r="570" spans="6:7" x14ac:dyDescent="0.3">
      <c r="F570" s="4"/>
      <c r="G570" s="5"/>
    </row>
    <row r="571" spans="6:7" x14ac:dyDescent="0.3">
      <c r="F571" s="4"/>
      <c r="G571" s="5"/>
    </row>
    <row r="572" spans="6:7" x14ac:dyDescent="0.3">
      <c r="F572" s="4"/>
      <c r="G572" s="5"/>
    </row>
    <row r="573" spans="6:7" x14ac:dyDescent="0.3">
      <c r="F573" s="4"/>
      <c r="G573" s="5"/>
    </row>
    <row r="574" spans="6:7" x14ac:dyDescent="0.3">
      <c r="F574" s="4"/>
      <c r="G574" s="5"/>
    </row>
    <row r="575" spans="6:7" x14ac:dyDescent="0.3">
      <c r="F575" s="4"/>
      <c r="G575" s="5"/>
    </row>
    <row r="576" spans="6:7" x14ac:dyDescent="0.3">
      <c r="F576" s="4"/>
      <c r="G576" s="5"/>
    </row>
    <row r="577" spans="6:7" x14ac:dyDescent="0.3">
      <c r="F577" s="4"/>
      <c r="G577" s="5"/>
    </row>
    <row r="578" spans="6:7" x14ac:dyDescent="0.3">
      <c r="F578" s="4"/>
      <c r="G578" s="5"/>
    </row>
    <row r="579" spans="6:7" x14ac:dyDescent="0.3">
      <c r="F579" s="4"/>
      <c r="G579" s="5"/>
    </row>
    <row r="580" spans="6:7" x14ac:dyDescent="0.3">
      <c r="F580" s="4"/>
      <c r="G580" s="5"/>
    </row>
    <row r="581" spans="6:7" x14ac:dyDescent="0.3">
      <c r="F581" s="4"/>
      <c r="G581" s="5"/>
    </row>
    <row r="582" spans="6:7" x14ac:dyDescent="0.3">
      <c r="F582" s="4"/>
      <c r="G582" s="5"/>
    </row>
    <row r="583" spans="6:7" x14ac:dyDescent="0.3">
      <c r="F583" s="4"/>
      <c r="G583" s="5"/>
    </row>
    <row r="584" spans="6:7" x14ac:dyDescent="0.3">
      <c r="F584" s="4"/>
      <c r="G584" s="5"/>
    </row>
    <row r="585" spans="6:7" x14ac:dyDescent="0.3">
      <c r="F585" s="4"/>
      <c r="G585" s="5"/>
    </row>
    <row r="586" spans="6:7" x14ac:dyDescent="0.3">
      <c r="F586" s="4"/>
      <c r="G586" s="5"/>
    </row>
    <row r="587" spans="6:7" x14ac:dyDescent="0.3">
      <c r="F587" s="4"/>
      <c r="G587" s="5"/>
    </row>
    <row r="588" spans="6:7" x14ac:dyDescent="0.3">
      <c r="F588" s="4"/>
      <c r="G588" s="5"/>
    </row>
    <row r="589" spans="6:7" x14ac:dyDescent="0.3">
      <c r="F589" s="4"/>
      <c r="G589" s="5"/>
    </row>
    <row r="590" spans="6:7" x14ac:dyDescent="0.3">
      <c r="F590" s="4"/>
      <c r="G590" s="5"/>
    </row>
    <row r="591" spans="6:7" x14ac:dyDescent="0.3">
      <c r="F591" s="4"/>
      <c r="G591" s="5"/>
    </row>
    <row r="592" spans="6:7" x14ac:dyDescent="0.3">
      <c r="F592" s="4"/>
      <c r="G592" s="5"/>
    </row>
    <row r="593" spans="6:7" x14ac:dyDescent="0.3">
      <c r="F593" s="4"/>
      <c r="G593" s="5"/>
    </row>
    <row r="594" spans="6:7" x14ac:dyDescent="0.3">
      <c r="F594" s="4"/>
      <c r="G594" s="5"/>
    </row>
    <row r="595" spans="6:7" x14ac:dyDescent="0.3">
      <c r="F595" s="4"/>
      <c r="G595" s="5"/>
    </row>
    <row r="596" spans="6:7" x14ac:dyDescent="0.3">
      <c r="F596" s="4"/>
      <c r="G596" s="5"/>
    </row>
    <row r="597" spans="6:7" x14ac:dyDescent="0.3">
      <c r="F597" s="4"/>
      <c r="G597" s="5"/>
    </row>
    <row r="598" spans="6:7" x14ac:dyDescent="0.3">
      <c r="F598" s="4"/>
      <c r="G598" s="5"/>
    </row>
    <row r="599" spans="6:7" x14ac:dyDescent="0.3">
      <c r="F599" s="4"/>
      <c r="G599" s="5"/>
    </row>
    <row r="600" spans="6:7" x14ac:dyDescent="0.3">
      <c r="F600" s="4"/>
      <c r="G600" s="5"/>
    </row>
    <row r="601" spans="6:7" x14ac:dyDescent="0.3">
      <c r="F601" s="4"/>
      <c r="G601" s="5"/>
    </row>
    <row r="602" spans="6:7" x14ac:dyDescent="0.3">
      <c r="F602" s="4"/>
      <c r="G602" s="5"/>
    </row>
    <row r="603" spans="6:7" x14ac:dyDescent="0.3">
      <c r="F603" s="4"/>
      <c r="G603" s="5"/>
    </row>
    <row r="604" spans="6:7" x14ac:dyDescent="0.3">
      <c r="F604" s="4"/>
      <c r="G604" s="5"/>
    </row>
    <row r="605" spans="6:7" x14ac:dyDescent="0.3">
      <c r="F605" s="4"/>
      <c r="G605" s="5"/>
    </row>
    <row r="606" spans="6:7" x14ac:dyDescent="0.3">
      <c r="F606" s="4"/>
      <c r="G606" s="5"/>
    </row>
    <row r="607" spans="6:7" x14ac:dyDescent="0.3">
      <c r="F607" s="4"/>
      <c r="G607" s="5"/>
    </row>
    <row r="608" spans="6:7" x14ac:dyDescent="0.3">
      <c r="F608" s="4"/>
      <c r="G608" s="5"/>
    </row>
    <row r="609" spans="6:7" x14ac:dyDescent="0.3">
      <c r="F609" s="4"/>
      <c r="G609" s="5"/>
    </row>
    <row r="610" spans="6:7" x14ac:dyDescent="0.3">
      <c r="F610" s="4"/>
      <c r="G610" s="5"/>
    </row>
    <row r="611" spans="6:7" x14ac:dyDescent="0.3">
      <c r="F611" s="4"/>
      <c r="G611" s="5"/>
    </row>
    <row r="612" spans="6:7" x14ac:dyDescent="0.3">
      <c r="F612" s="4"/>
      <c r="G612" s="5"/>
    </row>
    <row r="613" spans="6:7" x14ac:dyDescent="0.3">
      <c r="F613" s="4"/>
      <c r="G613" s="5"/>
    </row>
    <row r="614" spans="6:7" x14ac:dyDescent="0.3">
      <c r="F614" s="4"/>
      <c r="G614" s="5"/>
    </row>
    <row r="615" spans="6:7" x14ac:dyDescent="0.3">
      <c r="F615" s="4"/>
      <c r="G615" s="5"/>
    </row>
    <row r="616" spans="6:7" x14ac:dyDescent="0.3">
      <c r="F616" s="4"/>
      <c r="G616" s="5"/>
    </row>
    <row r="617" spans="6:7" x14ac:dyDescent="0.3">
      <c r="F617" s="4"/>
      <c r="G617" s="5"/>
    </row>
    <row r="618" spans="6:7" x14ac:dyDescent="0.3">
      <c r="F618" s="4"/>
      <c r="G618" s="5"/>
    </row>
    <row r="619" spans="6:7" x14ac:dyDescent="0.3">
      <c r="F619" s="4"/>
      <c r="G619" s="5"/>
    </row>
    <row r="620" spans="6:7" x14ac:dyDescent="0.3">
      <c r="F620" s="4"/>
      <c r="G620" s="5"/>
    </row>
    <row r="621" spans="6:7" x14ac:dyDescent="0.3">
      <c r="F621" s="4"/>
      <c r="G621" s="5"/>
    </row>
    <row r="622" spans="6:7" x14ac:dyDescent="0.3">
      <c r="F622" s="4"/>
      <c r="G622" s="5"/>
    </row>
    <row r="623" spans="6:7" x14ac:dyDescent="0.3">
      <c r="F623" s="4"/>
      <c r="G623" s="5"/>
    </row>
    <row r="624" spans="6:7" x14ac:dyDescent="0.3">
      <c r="F624" s="4"/>
      <c r="G624" s="5"/>
    </row>
    <row r="625" spans="6:7" x14ac:dyDescent="0.3">
      <c r="F625" s="4"/>
      <c r="G625" s="5"/>
    </row>
    <row r="626" spans="6:7" x14ac:dyDescent="0.3">
      <c r="F626" s="4"/>
      <c r="G626" s="5"/>
    </row>
    <row r="627" spans="6:7" x14ac:dyDescent="0.3">
      <c r="F627" s="4"/>
      <c r="G627" s="5"/>
    </row>
    <row r="628" spans="6:7" x14ac:dyDescent="0.3">
      <c r="F628" s="4"/>
      <c r="G628" s="5"/>
    </row>
    <row r="629" spans="6:7" x14ac:dyDescent="0.3">
      <c r="F629" s="4"/>
      <c r="G629" s="5"/>
    </row>
    <row r="630" spans="6:7" x14ac:dyDescent="0.3">
      <c r="F630" s="4"/>
      <c r="G630" s="5"/>
    </row>
    <row r="631" spans="6:7" x14ac:dyDescent="0.3">
      <c r="F631" s="4"/>
      <c r="G631" s="5"/>
    </row>
    <row r="632" spans="6:7" x14ac:dyDescent="0.3">
      <c r="F632" s="4"/>
      <c r="G632" s="5"/>
    </row>
    <row r="633" spans="6:7" x14ac:dyDescent="0.3">
      <c r="F633" s="4"/>
      <c r="G633" s="5"/>
    </row>
    <row r="634" spans="6:7" x14ac:dyDescent="0.3">
      <c r="F634" s="4"/>
      <c r="G634" s="5"/>
    </row>
    <row r="635" spans="6:7" x14ac:dyDescent="0.3">
      <c r="F635" s="4"/>
      <c r="G635" s="5"/>
    </row>
    <row r="636" spans="6:7" x14ac:dyDescent="0.3">
      <c r="F636" s="4"/>
      <c r="G636" s="5"/>
    </row>
    <row r="637" spans="6:7" x14ac:dyDescent="0.3">
      <c r="F637" s="4"/>
      <c r="G637" s="5"/>
    </row>
    <row r="638" spans="6:7" x14ac:dyDescent="0.3">
      <c r="F638" s="4"/>
      <c r="G638" s="5"/>
    </row>
    <row r="639" spans="6:7" x14ac:dyDescent="0.3">
      <c r="F639" s="4"/>
      <c r="G639" s="5"/>
    </row>
    <row r="640" spans="6:7" x14ac:dyDescent="0.3">
      <c r="F640" s="4"/>
      <c r="G640" s="5"/>
    </row>
    <row r="641" spans="6:7" x14ac:dyDescent="0.3">
      <c r="F641" s="4"/>
      <c r="G641" s="5"/>
    </row>
    <row r="642" spans="6:7" x14ac:dyDescent="0.3">
      <c r="F642" s="4"/>
      <c r="G642" s="5"/>
    </row>
    <row r="643" spans="6:7" x14ac:dyDescent="0.3">
      <c r="F643" s="4"/>
      <c r="G643" s="5"/>
    </row>
    <row r="644" spans="6:7" x14ac:dyDescent="0.3">
      <c r="F644" s="4"/>
      <c r="G644" s="5"/>
    </row>
    <row r="645" spans="6:7" x14ac:dyDescent="0.3">
      <c r="F645" s="4"/>
      <c r="G645" s="5"/>
    </row>
    <row r="646" spans="6:7" x14ac:dyDescent="0.3">
      <c r="F646" s="4"/>
      <c r="G646" s="5"/>
    </row>
    <row r="647" spans="6:7" x14ac:dyDescent="0.3">
      <c r="F647" s="4"/>
      <c r="G647" s="5"/>
    </row>
    <row r="648" spans="6:7" x14ac:dyDescent="0.3">
      <c r="F648" s="4"/>
      <c r="G648" s="5"/>
    </row>
    <row r="649" spans="6:7" x14ac:dyDescent="0.3">
      <c r="F649" s="4"/>
      <c r="G649" s="5"/>
    </row>
    <row r="650" spans="6:7" x14ac:dyDescent="0.3">
      <c r="F650" s="4"/>
      <c r="G650" s="5"/>
    </row>
    <row r="651" spans="6:7" x14ac:dyDescent="0.3">
      <c r="F651" s="4"/>
      <c r="G651" s="5"/>
    </row>
    <row r="652" spans="6:7" x14ac:dyDescent="0.3">
      <c r="F652" s="4"/>
      <c r="G652" s="5"/>
    </row>
    <row r="653" spans="6:7" x14ac:dyDescent="0.3">
      <c r="F653" s="4"/>
      <c r="G653" s="5"/>
    </row>
    <row r="654" spans="6:7" x14ac:dyDescent="0.3">
      <c r="F654" s="4"/>
      <c r="G654" s="5"/>
    </row>
    <row r="655" spans="6:7" x14ac:dyDescent="0.3">
      <c r="F655" s="4"/>
      <c r="G655" s="5"/>
    </row>
    <row r="656" spans="6:7" x14ac:dyDescent="0.3">
      <c r="F656" s="4"/>
      <c r="G656" s="5"/>
    </row>
    <row r="657" spans="6:7" x14ac:dyDescent="0.3">
      <c r="F657" s="4"/>
      <c r="G657" s="5"/>
    </row>
    <row r="658" spans="6:7" x14ac:dyDescent="0.3">
      <c r="F658" s="4"/>
      <c r="G658" s="5"/>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403E5-869F-4C53-833B-0B6D5D7326F2}">
  <dimension ref="A1:L11"/>
  <sheetViews>
    <sheetView workbookViewId="0">
      <selection activeCell="M18" sqref="M18"/>
    </sheetView>
  </sheetViews>
  <sheetFormatPr defaultRowHeight="15.05" x14ac:dyDescent="0.3"/>
  <cols>
    <col min="2" max="2" width="10" customWidth="1"/>
    <col min="3" max="3" width="9.21875" customWidth="1"/>
  </cols>
  <sheetData>
    <row r="1" spans="1:12" s="2" customFormat="1" ht="52.45" customHeight="1" x14ac:dyDescent="1.1000000000000001">
      <c r="A1" s="15">
        <v>1</v>
      </c>
      <c r="C1" s="14" t="s">
        <v>56</v>
      </c>
    </row>
    <row r="3" spans="1:12" x14ac:dyDescent="0.3">
      <c r="B3" t="s">
        <v>72</v>
      </c>
      <c r="C3" t="s">
        <v>1</v>
      </c>
      <c r="D3" t="s">
        <v>50</v>
      </c>
    </row>
    <row r="4" spans="1:12" x14ac:dyDescent="0.3">
      <c r="B4" t="s">
        <v>57</v>
      </c>
      <c r="C4">
        <f>AVERAGE(Data[Amount])</f>
        <v>4136.2299999999996</v>
      </c>
      <c r="D4">
        <f>AVERAGE(Data[Units])</f>
        <v>152.19999999999999</v>
      </c>
    </row>
    <row r="5" spans="1:12" x14ac:dyDescent="0.3">
      <c r="B5" t="s">
        <v>58</v>
      </c>
      <c r="C5">
        <f>MEDIAN(Data[Amount])</f>
        <v>3437</v>
      </c>
      <c r="D5">
        <f>MEDIAN(Data[Units])</f>
        <v>124.5</v>
      </c>
    </row>
    <row r="6" spans="1:12" x14ac:dyDescent="0.3">
      <c r="B6" t="s">
        <v>63</v>
      </c>
      <c r="C6">
        <f>MIN(Data[Amount])</f>
        <v>0</v>
      </c>
      <c r="D6">
        <f>MIN(Data[Units])</f>
        <v>0</v>
      </c>
    </row>
    <row r="7" spans="1:12" x14ac:dyDescent="0.3">
      <c r="B7" t="s">
        <v>64</v>
      </c>
      <c r="C7">
        <f>MAX(Data[Amount])</f>
        <v>16184</v>
      </c>
      <c r="D7">
        <f>MAX(Data[Units])</f>
        <v>525</v>
      </c>
      <c r="K7" t="s">
        <v>59</v>
      </c>
      <c r="L7" t="s">
        <v>60</v>
      </c>
    </row>
    <row r="8" spans="1:12" x14ac:dyDescent="0.3">
      <c r="B8" t="s">
        <v>65</v>
      </c>
      <c r="C8">
        <f>C7-C6</f>
        <v>16184</v>
      </c>
      <c r="D8">
        <f>D7-D6</f>
        <v>525</v>
      </c>
      <c r="K8" t="s">
        <v>61</v>
      </c>
      <c r="L8" t="s">
        <v>62</v>
      </c>
    </row>
    <row r="9" spans="1:12" x14ac:dyDescent="0.3">
      <c r="K9" t="s">
        <v>66</v>
      </c>
      <c r="L9" t="s">
        <v>67</v>
      </c>
    </row>
    <row r="10" spans="1:12" x14ac:dyDescent="0.3">
      <c r="B10" t="s">
        <v>68</v>
      </c>
      <c r="C10">
        <f>_xlfn.PERCENTILE.EXC(Data[Amount],0.25)</f>
        <v>1652</v>
      </c>
      <c r="D10">
        <f>_xlfn.PERCENTILE.EXC(Data[Units],0.25)</f>
        <v>54</v>
      </c>
      <c r="K10" t="s">
        <v>75</v>
      </c>
      <c r="L10" t="s">
        <v>76</v>
      </c>
    </row>
    <row r="11" spans="1:12" x14ac:dyDescent="0.3">
      <c r="B11" t="s">
        <v>69</v>
      </c>
      <c r="C11">
        <f>_xlfn.PERCENTILE.EXC(Data[Amount],0.75)</f>
        <v>6245.75</v>
      </c>
      <c r="D11">
        <f>_xlfn.PERCENTILE.EXC(Data[Units],0.75)</f>
        <v>223.5</v>
      </c>
      <c r="K11" t="s">
        <v>77</v>
      </c>
      <c r="L11"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58A8-2B41-4B69-BCD4-9503B75D0667}">
  <dimension ref="A1:G305"/>
  <sheetViews>
    <sheetView zoomScale="87" workbookViewId="0">
      <selection activeCell="O11" sqref="O11"/>
    </sheetView>
  </sheetViews>
  <sheetFormatPr defaultRowHeight="15.05" x14ac:dyDescent="0.3"/>
  <cols>
    <col min="3" max="3" width="23.6640625" customWidth="1"/>
    <col min="4" max="4" width="20.21875" customWidth="1"/>
    <col min="5" max="5" width="27.21875" customWidth="1"/>
    <col min="6" max="6" width="14" customWidth="1"/>
    <col min="7" max="7" width="11.21875" customWidth="1"/>
    <col min="9" max="9" width="7.88671875" customWidth="1"/>
  </cols>
  <sheetData>
    <row r="1" spans="1:7" s="2" customFormat="1" ht="52.45" customHeight="1" x14ac:dyDescent="1.1000000000000001">
      <c r="A1" s="15">
        <v>2</v>
      </c>
      <c r="C1" s="14" t="s">
        <v>53</v>
      </c>
    </row>
    <row r="5" spans="1:7" x14ac:dyDescent="0.3">
      <c r="C5" s="17" t="s">
        <v>11</v>
      </c>
      <c r="D5" s="17" t="s">
        <v>12</v>
      </c>
      <c r="E5" s="17" t="s">
        <v>0</v>
      </c>
      <c r="F5" s="18" t="s">
        <v>1</v>
      </c>
      <c r="G5" s="18" t="s">
        <v>50</v>
      </c>
    </row>
    <row r="6" spans="1:7" x14ac:dyDescent="0.3">
      <c r="C6" s="19" t="s">
        <v>7</v>
      </c>
      <c r="D6" s="19" t="s">
        <v>37</v>
      </c>
      <c r="E6" s="19" t="s">
        <v>26</v>
      </c>
      <c r="F6" s="20">
        <v>5306</v>
      </c>
      <c r="G6" s="21">
        <v>0</v>
      </c>
    </row>
    <row r="7" spans="1:7" x14ac:dyDescent="0.3">
      <c r="C7" s="19" t="s">
        <v>5</v>
      </c>
      <c r="D7" s="19" t="s">
        <v>36</v>
      </c>
      <c r="E7" s="19" t="s">
        <v>18</v>
      </c>
      <c r="F7" s="20">
        <v>6111</v>
      </c>
      <c r="G7" s="21">
        <v>3</v>
      </c>
    </row>
    <row r="8" spans="1:7" x14ac:dyDescent="0.3">
      <c r="C8" s="19" t="s">
        <v>41</v>
      </c>
      <c r="D8" s="19" t="s">
        <v>38</v>
      </c>
      <c r="E8" s="19" t="s">
        <v>22</v>
      </c>
      <c r="F8" s="20">
        <v>5915</v>
      </c>
      <c r="G8" s="21">
        <v>3</v>
      </c>
    </row>
    <row r="9" spans="1:7" x14ac:dyDescent="0.3">
      <c r="C9" s="19" t="s">
        <v>2</v>
      </c>
      <c r="D9" s="19" t="s">
        <v>38</v>
      </c>
      <c r="E9" s="19" t="s">
        <v>4</v>
      </c>
      <c r="F9" s="20">
        <v>3549</v>
      </c>
      <c r="G9" s="21">
        <v>3</v>
      </c>
    </row>
    <row r="10" spans="1:7" x14ac:dyDescent="0.3">
      <c r="C10" s="19" t="s">
        <v>6</v>
      </c>
      <c r="D10" s="19" t="s">
        <v>39</v>
      </c>
      <c r="E10" s="19" t="s">
        <v>24</v>
      </c>
      <c r="F10" s="20">
        <v>2989</v>
      </c>
      <c r="G10" s="21">
        <v>3</v>
      </c>
    </row>
    <row r="11" spans="1:7" x14ac:dyDescent="0.3">
      <c r="C11" s="19" t="s">
        <v>6</v>
      </c>
      <c r="D11" s="19" t="s">
        <v>37</v>
      </c>
      <c r="E11" s="19" t="s">
        <v>26</v>
      </c>
      <c r="F11" s="20">
        <v>6818</v>
      </c>
      <c r="G11" s="21">
        <v>6</v>
      </c>
    </row>
    <row r="12" spans="1:7" x14ac:dyDescent="0.3">
      <c r="C12" s="19" t="s">
        <v>10</v>
      </c>
      <c r="D12" s="19" t="s">
        <v>35</v>
      </c>
      <c r="E12" s="19" t="s">
        <v>15</v>
      </c>
      <c r="F12" s="20">
        <v>2562</v>
      </c>
      <c r="G12" s="21">
        <v>6</v>
      </c>
    </row>
    <row r="13" spans="1:7" x14ac:dyDescent="0.3">
      <c r="C13" s="19" t="s">
        <v>6</v>
      </c>
      <c r="D13" s="19" t="s">
        <v>38</v>
      </c>
      <c r="E13" s="19" t="s">
        <v>16</v>
      </c>
      <c r="F13" s="20">
        <v>938</v>
      </c>
      <c r="G13" s="21">
        <v>6</v>
      </c>
    </row>
    <row r="14" spans="1:7" x14ac:dyDescent="0.3">
      <c r="C14" s="19" t="s">
        <v>6</v>
      </c>
      <c r="D14" s="19" t="s">
        <v>36</v>
      </c>
      <c r="E14" s="19" t="s">
        <v>32</v>
      </c>
      <c r="F14" s="20">
        <v>6118</v>
      </c>
      <c r="G14" s="21">
        <v>9</v>
      </c>
    </row>
    <row r="15" spans="1:7" x14ac:dyDescent="0.3">
      <c r="C15" s="19" t="s">
        <v>10</v>
      </c>
      <c r="D15" s="19" t="s">
        <v>34</v>
      </c>
      <c r="E15" s="19" t="s">
        <v>26</v>
      </c>
      <c r="F15" s="20">
        <v>4991</v>
      </c>
      <c r="G15" s="21">
        <v>9</v>
      </c>
    </row>
    <row r="16" spans="1:7" x14ac:dyDescent="0.3">
      <c r="C16" s="19" t="s">
        <v>41</v>
      </c>
      <c r="D16" s="19" t="s">
        <v>37</v>
      </c>
      <c r="E16" s="19" t="s">
        <v>21</v>
      </c>
      <c r="F16" s="20">
        <v>2933</v>
      </c>
      <c r="G16" s="21">
        <v>9</v>
      </c>
    </row>
    <row r="17" spans="3:7" x14ac:dyDescent="0.3">
      <c r="C17" s="19" t="s">
        <v>5</v>
      </c>
      <c r="D17" s="19" t="s">
        <v>35</v>
      </c>
      <c r="E17" s="19" t="s">
        <v>4</v>
      </c>
      <c r="F17" s="20">
        <v>2744</v>
      </c>
      <c r="G17" s="21">
        <v>9</v>
      </c>
    </row>
    <row r="18" spans="3:7" x14ac:dyDescent="0.3">
      <c r="C18" s="19" t="s">
        <v>9</v>
      </c>
      <c r="D18" s="19" t="s">
        <v>38</v>
      </c>
      <c r="E18" s="19" t="s">
        <v>17</v>
      </c>
      <c r="F18" s="20">
        <v>2408</v>
      </c>
      <c r="G18" s="21">
        <v>9</v>
      </c>
    </row>
    <row r="19" spans="3:7" x14ac:dyDescent="0.3">
      <c r="C19" s="19" t="s">
        <v>40</v>
      </c>
      <c r="D19" s="19" t="s">
        <v>39</v>
      </c>
      <c r="E19" s="19" t="s">
        <v>22</v>
      </c>
      <c r="F19" s="20">
        <v>5817</v>
      </c>
      <c r="G19" s="21">
        <v>12</v>
      </c>
    </row>
    <row r="20" spans="3:7" x14ac:dyDescent="0.3">
      <c r="C20" s="19" t="s">
        <v>5</v>
      </c>
      <c r="D20" s="19" t="s">
        <v>37</v>
      </c>
      <c r="E20" s="19" t="s">
        <v>14</v>
      </c>
      <c r="F20" s="20">
        <v>4991</v>
      </c>
      <c r="G20" s="21">
        <v>12</v>
      </c>
    </row>
    <row r="21" spans="3:7" x14ac:dyDescent="0.3">
      <c r="C21" s="19" t="s">
        <v>5</v>
      </c>
      <c r="D21" s="19" t="s">
        <v>36</v>
      </c>
      <c r="E21" s="19" t="s">
        <v>23</v>
      </c>
      <c r="F21" s="20">
        <v>6314</v>
      </c>
      <c r="G21" s="21">
        <v>15</v>
      </c>
    </row>
    <row r="22" spans="3:7" x14ac:dyDescent="0.3">
      <c r="C22" s="19" t="s">
        <v>5</v>
      </c>
      <c r="D22" s="19" t="s">
        <v>35</v>
      </c>
      <c r="E22" s="19" t="s">
        <v>18</v>
      </c>
      <c r="F22" s="20">
        <v>2415</v>
      </c>
      <c r="G22" s="21">
        <v>15</v>
      </c>
    </row>
    <row r="23" spans="3:7" x14ac:dyDescent="0.3">
      <c r="C23" s="19" t="s">
        <v>6</v>
      </c>
      <c r="D23" s="19" t="s">
        <v>34</v>
      </c>
      <c r="E23" s="19" t="s">
        <v>15</v>
      </c>
      <c r="F23" s="20">
        <v>1442</v>
      </c>
      <c r="G23" s="21">
        <v>15</v>
      </c>
    </row>
    <row r="24" spans="3:7" x14ac:dyDescent="0.3">
      <c r="C24" s="19" t="s">
        <v>2</v>
      </c>
      <c r="D24" s="19" t="s">
        <v>35</v>
      </c>
      <c r="E24" s="19" t="s">
        <v>19</v>
      </c>
      <c r="F24" s="20">
        <v>553</v>
      </c>
      <c r="G24" s="21">
        <v>15</v>
      </c>
    </row>
    <row r="25" spans="3:7" x14ac:dyDescent="0.3">
      <c r="C25" s="19" t="s">
        <v>3</v>
      </c>
      <c r="D25" s="19" t="s">
        <v>34</v>
      </c>
      <c r="E25" s="19" t="s">
        <v>20</v>
      </c>
      <c r="F25" s="20">
        <v>2583</v>
      </c>
      <c r="G25" s="21">
        <v>18</v>
      </c>
    </row>
    <row r="26" spans="3:7" x14ac:dyDescent="0.3">
      <c r="C26" s="19" t="s">
        <v>3</v>
      </c>
      <c r="D26" s="19" t="s">
        <v>36</v>
      </c>
      <c r="E26" s="19" t="s">
        <v>19</v>
      </c>
      <c r="F26" s="20">
        <v>1281</v>
      </c>
      <c r="G26" s="21">
        <v>18</v>
      </c>
    </row>
    <row r="27" spans="3:7" x14ac:dyDescent="0.3">
      <c r="C27" s="19" t="s">
        <v>2</v>
      </c>
      <c r="D27" s="19" t="s">
        <v>37</v>
      </c>
      <c r="E27" s="19" t="s">
        <v>19</v>
      </c>
      <c r="F27" s="20">
        <v>238</v>
      </c>
      <c r="G27" s="21">
        <v>18</v>
      </c>
    </row>
    <row r="28" spans="3:7" x14ac:dyDescent="0.3">
      <c r="C28" s="19" t="s">
        <v>2</v>
      </c>
      <c r="D28" s="19" t="s">
        <v>36</v>
      </c>
      <c r="E28" s="19" t="s">
        <v>16</v>
      </c>
      <c r="F28" s="20">
        <v>11417</v>
      </c>
      <c r="G28" s="21">
        <v>21</v>
      </c>
    </row>
    <row r="29" spans="3:7" x14ac:dyDescent="0.3">
      <c r="C29" s="19" t="s">
        <v>5</v>
      </c>
      <c r="D29" s="19" t="s">
        <v>37</v>
      </c>
      <c r="E29" s="19" t="s">
        <v>25</v>
      </c>
      <c r="F29" s="20">
        <v>8813</v>
      </c>
      <c r="G29" s="21">
        <v>21</v>
      </c>
    </row>
    <row r="30" spans="3:7" x14ac:dyDescent="0.3">
      <c r="C30" s="19" t="s">
        <v>40</v>
      </c>
      <c r="D30" s="19" t="s">
        <v>37</v>
      </c>
      <c r="E30" s="19" t="s">
        <v>19</v>
      </c>
      <c r="F30" s="20">
        <v>7693</v>
      </c>
      <c r="G30" s="21">
        <v>21</v>
      </c>
    </row>
    <row r="31" spans="3:7" x14ac:dyDescent="0.3">
      <c r="C31" s="19" t="s">
        <v>5</v>
      </c>
      <c r="D31" s="19" t="s">
        <v>34</v>
      </c>
      <c r="E31" s="19" t="s">
        <v>27</v>
      </c>
      <c r="F31" s="20">
        <v>6986</v>
      </c>
      <c r="G31" s="21">
        <v>21</v>
      </c>
    </row>
    <row r="32" spans="3:7" x14ac:dyDescent="0.3">
      <c r="C32" s="19" t="s">
        <v>5</v>
      </c>
      <c r="D32" s="19" t="s">
        <v>38</v>
      </c>
      <c r="E32" s="19" t="s">
        <v>32</v>
      </c>
      <c r="F32" s="20">
        <v>5075</v>
      </c>
      <c r="G32" s="21">
        <v>21</v>
      </c>
    </row>
    <row r="33" spans="3:7" x14ac:dyDescent="0.3">
      <c r="C33" s="19" t="s">
        <v>7</v>
      </c>
      <c r="D33" s="19" t="s">
        <v>35</v>
      </c>
      <c r="E33" s="19" t="s">
        <v>27</v>
      </c>
      <c r="F33" s="20">
        <v>2478</v>
      </c>
      <c r="G33" s="21">
        <v>21</v>
      </c>
    </row>
    <row r="34" spans="3:7" x14ac:dyDescent="0.3">
      <c r="C34" s="19" t="s">
        <v>41</v>
      </c>
      <c r="D34" s="19" t="s">
        <v>38</v>
      </c>
      <c r="E34" s="19" t="s">
        <v>25</v>
      </c>
      <c r="F34" s="20">
        <v>154</v>
      </c>
      <c r="G34" s="21">
        <v>21</v>
      </c>
    </row>
    <row r="35" spans="3:7" x14ac:dyDescent="0.3">
      <c r="C35" s="19" t="s">
        <v>10</v>
      </c>
      <c r="D35" s="19" t="s">
        <v>34</v>
      </c>
      <c r="E35" s="19" t="s">
        <v>22</v>
      </c>
      <c r="F35" s="20">
        <v>4053</v>
      </c>
      <c r="G35" s="21">
        <v>24</v>
      </c>
    </row>
    <row r="36" spans="3:7" x14ac:dyDescent="0.3">
      <c r="C36" s="19" t="s">
        <v>7</v>
      </c>
      <c r="D36" s="19" t="s">
        <v>34</v>
      </c>
      <c r="E36" s="19" t="s">
        <v>15</v>
      </c>
      <c r="F36" s="20">
        <v>3829</v>
      </c>
      <c r="G36" s="21">
        <v>24</v>
      </c>
    </row>
    <row r="37" spans="3:7" x14ac:dyDescent="0.3">
      <c r="C37" s="19" t="s">
        <v>8</v>
      </c>
      <c r="D37" s="19" t="s">
        <v>39</v>
      </c>
      <c r="E37" s="19" t="s">
        <v>18</v>
      </c>
      <c r="F37" s="20">
        <v>9660</v>
      </c>
      <c r="G37" s="21">
        <v>27</v>
      </c>
    </row>
    <row r="38" spans="3:7" x14ac:dyDescent="0.3">
      <c r="C38" s="19" t="s">
        <v>9</v>
      </c>
      <c r="D38" s="19" t="s">
        <v>34</v>
      </c>
      <c r="E38" s="19" t="s">
        <v>21</v>
      </c>
      <c r="F38" s="20">
        <v>6832</v>
      </c>
      <c r="G38" s="21">
        <v>27</v>
      </c>
    </row>
    <row r="39" spans="3:7" x14ac:dyDescent="0.3">
      <c r="C39" s="19" t="s">
        <v>6</v>
      </c>
      <c r="D39" s="19" t="s">
        <v>39</v>
      </c>
      <c r="E39" s="19" t="s">
        <v>17</v>
      </c>
      <c r="F39" s="20">
        <v>6048</v>
      </c>
      <c r="G39" s="21">
        <v>27</v>
      </c>
    </row>
    <row r="40" spans="3:7" x14ac:dyDescent="0.3">
      <c r="C40" s="19" t="s">
        <v>10</v>
      </c>
      <c r="D40" s="19" t="s">
        <v>37</v>
      </c>
      <c r="E40" s="19" t="s">
        <v>28</v>
      </c>
      <c r="F40" s="20">
        <v>3059</v>
      </c>
      <c r="G40" s="21">
        <v>27</v>
      </c>
    </row>
    <row r="41" spans="3:7" x14ac:dyDescent="0.3">
      <c r="C41" s="19" t="s">
        <v>7</v>
      </c>
      <c r="D41" s="19" t="s">
        <v>35</v>
      </c>
      <c r="E41" s="19" t="s">
        <v>16</v>
      </c>
      <c r="F41" s="20">
        <v>2135</v>
      </c>
      <c r="G41" s="21">
        <v>27</v>
      </c>
    </row>
    <row r="42" spans="3:7" x14ac:dyDescent="0.3">
      <c r="C42" s="19" t="s">
        <v>8</v>
      </c>
      <c r="D42" s="19" t="s">
        <v>39</v>
      </c>
      <c r="E42" s="19" t="s">
        <v>26</v>
      </c>
      <c r="F42" s="20">
        <v>1561</v>
      </c>
      <c r="G42" s="21">
        <v>27</v>
      </c>
    </row>
    <row r="43" spans="3:7" x14ac:dyDescent="0.3">
      <c r="C43" s="19" t="s">
        <v>10</v>
      </c>
      <c r="D43" s="19" t="s">
        <v>39</v>
      </c>
      <c r="E43" s="19" t="s">
        <v>33</v>
      </c>
      <c r="F43" s="20">
        <v>12950</v>
      </c>
      <c r="G43" s="21">
        <v>30</v>
      </c>
    </row>
    <row r="44" spans="3:7" x14ac:dyDescent="0.3">
      <c r="C44" s="19" t="s">
        <v>8</v>
      </c>
      <c r="D44" s="19" t="s">
        <v>37</v>
      </c>
      <c r="E44" s="19" t="s">
        <v>15</v>
      </c>
      <c r="F44" s="20">
        <v>9709</v>
      </c>
      <c r="G44" s="21">
        <v>30</v>
      </c>
    </row>
    <row r="45" spans="3:7" x14ac:dyDescent="0.3">
      <c r="C45" s="19" t="s">
        <v>40</v>
      </c>
      <c r="D45" s="19" t="s">
        <v>39</v>
      </c>
      <c r="E45" s="19" t="s">
        <v>27</v>
      </c>
      <c r="F45" s="20">
        <v>6370</v>
      </c>
      <c r="G45" s="21">
        <v>30</v>
      </c>
    </row>
    <row r="46" spans="3:7" x14ac:dyDescent="0.3">
      <c r="C46" s="19" t="s">
        <v>40</v>
      </c>
      <c r="D46" s="19" t="s">
        <v>36</v>
      </c>
      <c r="E46" s="19" t="s">
        <v>25</v>
      </c>
      <c r="F46" s="20">
        <v>5439</v>
      </c>
      <c r="G46" s="21">
        <v>30</v>
      </c>
    </row>
    <row r="47" spans="3:7" x14ac:dyDescent="0.3">
      <c r="C47" s="19" t="s">
        <v>10</v>
      </c>
      <c r="D47" s="19" t="s">
        <v>37</v>
      </c>
      <c r="E47" s="19" t="s">
        <v>23</v>
      </c>
      <c r="F47" s="20">
        <v>4683</v>
      </c>
      <c r="G47" s="21">
        <v>30</v>
      </c>
    </row>
    <row r="48" spans="3:7" x14ac:dyDescent="0.3">
      <c r="C48" s="19" t="s">
        <v>6</v>
      </c>
      <c r="D48" s="19" t="s">
        <v>36</v>
      </c>
      <c r="E48" s="19" t="s">
        <v>13</v>
      </c>
      <c r="F48" s="20">
        <v>4319</v>
      </c>
      <c r="G48" s="21">
        <v>30</v>
      </c>
    </row>
    <row r="49" spans="3:7" x14ac:dyDescent="0.3">
      <c r="C49" s="19" t="s">
        <v>3</v>
      </c>
      <c r="D49" s="19" t="s">
        <v>36</v>
      </c>
      <c r="E49" s="19" t="s">
        <v>16</v>
      </c>
      <c r="F49" s="20">
        <v>9198</v>
      </c>
      <c r="G49" s="21">
        <v>36</v>
      </c>
    </row>
    <row r="50" spans="3:7" x14ac:dyDescent="0.3">
      <c r="C50" s="19" t="s">
        <v>6</v>
      </c>
      <c r="D50" s="19" t="s">
        <v>38</v>
      </c>
      <c r="E50" s="19" t="s">
        <v>21</v>
      </c>
      <c r="F50" s="20">
        <v>7322</v>
      </c>
      <c r="G50" s="21">
        <v>36</v>
      </c>
    </row>
    <row r="51" spans="3:7" x14ac:dyDescent="0.3">
      <c r="C51" s="19" t="s">
        <v>2</v>
      </c>
      <c r="D51" s="19" t="s">
        <v>39</v>
      </c>
      <c r="E51" s="19" t="s">
        <v>15</v>
      </c>
      <c r="F51" s="20">
        <v>4802</v>
      </c>
      <c r="G51" s="21">
        <v>36</v>
      </c>
    </row>
    <row r="52" spans="3:7" x14ac:dyDescent="0.3">
      <c r="C52" s="19" t="s">
        <v>2</v>
      </c>
      <c r="D52" s="19" t="s">
        <v>39</v>
      </c>
      <c r="E52" s="19" t="s">
        <v>23</v>
      </c>
      <c r="F52" s="20">
        <v>630</v>
      </c>
      <c r="G52" s="21">
        <v>36</v>
      </c>
    </row>
    <row r="53" spans="3:7" x14ac:dyDescent="0.3">
      <c r="C53" s="19" t="s">
        <v>40</v>
      </c>
      <c r="D53" s="19" t="s">
        <v>36</v>
      </c>
      <c r="E53" s="19" t="s">
        <v>4</v>
      </c>
      <c r="F53" s="20">
        <v>217</v>
      </c>
      <c r="G53" s="21">
        <v>36</v>
      </c>
    </row>
    <row r="54" spans="3:7" x14ac:dyDescent="0.3">
      <c r="C54" s="19" t="s">
        <v>5</v>
      </c>
      <c r="D54" s="19" t="s">
        <v>36</v>
      </c>
      <c r="E54" s="19" t="s">
        <v>16</v>
      </c>
      <c r="F54" s="20">
        <v>16184</v>
      </c>
      <c r="G54" s="21">
        <v>39</v>
      </c>
    </row>
    <row r="55" spans="3:7" x14ac:dyDescent="0.3">
      <c r="C55" s="19" t="s">
        <v>7</v>
      </c>
      <c r="D55" s="19" t="s">
        <v>34</v>
      </c>
      <c r="E55" s="19" t="s">
        <v>17</v>
      </c>
      <c r="F55" s="20">
        <v>7777</v>
      </c>
      <c r="G55" s="21">
        <v>39</v>
      </c>
    </row>
    <row r="56" spans="3:7" x14ac:dyDescent="0.3">
      <c r="C56" s="19" t="s">
        <v>3</v>
      </c>
      <c r="D56" s="19" t="s">
        <v>36</v>
      </c>
      <c r="E56" s="19" t="s">
        <v>25</v>
      </c>
      <c r="F56" s="20">
        <v>3339</v>
      </c>
      <c r="G56" s="21">
        <v>39</v>
      </c>
    </row>
    <row r="57" spans="3:7" x14ac:dyDescent="0.3">
      <c r="C57" s="19" t="s">
        <v>40</v>
      </c>
      <c r="D57" s="19" t="s">
        <v>38</v>
      </c>
      <c r="E57" s="19" t="s">
        <v>31</v>
      </c>
      <c r="F57" s="20">
        <v>1988</v>
      </c>
      <c r="G57" s="21">
        <v>39</v>
      </c>
    </row>
    <row r="58" spans="3:7" x14ac:dyDescent="0.3">
      <c r="C58" s="19" t="s">
        <v>41</v>
      </c>
      <c r="D58" s="19" t="s">
        <v>34</v>
      </c>
      <c r="E58" s="19" t="s">
        <v>17</v>
      </c>
      <c r="F58" s="20">
        <v>1463</v>
      </c>
      <c r="G58" s="21">
        <v>39</v>
      </c>
    </row>
    <row r="59" spans="3:7" x14ac:dyDescent="0.3">
      <c r="C59" s="19" t="s">
        <v>7</v>
      </c>
      <c r="D59" s="19" t="s">
        <v>36</v>
      </c>
      <c r="E59" s="19" t="s">
        <v>22</v>
      </c>
      <c r="F59" s="20">
        <v>8435</v>
      </c>
      <c r="G59" s="21">
        <v>42</v>
      </c>
    </row>
    <row r="60" spans="3:7" x14ac:dyDescent="0.3">
      <c r="C60" s="19" t="s">
        <v>3</v>
      </c>
      <c r="D60" s="19" t="s">
        <v>34</v>
      </c>
      <c r="E60" s="19" t="s">
        <v>25</v>
      </c>
      <c r="F60" s="20">
        <v>6300</v>
      </c>
      <c r="G60" s="21">
        <v>42</v>
      </c>
    </row>
    <row r="61" spans="3:7" x14ac:dyDescent="0.3">
      <c r="C61" s="19" t="s">
        <v>40</v>
      </c>
      <c r="D61" s="19" t="s">
        <v>39</v>
      </c>
      <c r="E61" s="19" t="s">
        <v>15</v>
      </c>
      <c r="F61" s="20">
        <v>5775</v>
      </c>
      <c r="G61" s="21">
        <v>42</v>
      </c>
    </row>
    <row r="62" spans="3:7" x14ac:dyDescent="0.3">
      <c r="C62" s="19" t="s">
        <v>2</v>
      </c>
      <c r="D62" s="19" t="s">
        <v>37</v>
      </c>
      <c r="E62" s="19" t="s">
        <v>15</v>
      </c>
      <c r="F62" s="20">
        <v>2863</v>
      </c>
      <c r="G62" s="21">
        <v>42</v>
      </c>
    </row>
    <row r="63" spans="3:7" x14ac:dyDescent="0.3">
      <c r="C63" s="19" t="s">
        <v>5</v>
      </c>
      <c r="D63" s="19" t="s">
        <v>38</v>
      </c>
      <c r="E63" s="19" t="s">
        <v>25</v>
      </c>
      <c r="F63" s="20">
        <v>7483</v>
      </c>
      <c r="G63" s="21">
        <v>45</v>
      </c>
    </row>
    <row r="64" spans="3:7" x14ac:dyDescent="0.3">
      <c r="C64" s="19" t="s">
        <v>8</v>
      </c>
      <c r="D64" s="19" t="s">
        <v>37</v>
      </c>
      <c r="E64" s="19" t="s">
        <v>26</v>
      </c>
      <c r="F64" s="20">
        <v>6279</v>
      </c>
      <c r="G64" s="21">
        <v>45</v>
      </c>
    </row>
    <row r="65" spans="3:7" x14ac:dyDescent="0.3">
      <c r="C65" s="19" t="s">
        <v>9</v>
      </c>
      <c r="D65" s="19" t="s">
        <v>37</v>
      </c>
      <c r="E65" s="19" t="s">
        <v>28</v>
      </c>
      <c r="F65" s="20">
        <v>2919</v>
      </c>
      <c r="G65" s="21">
        <v>45</v>
      </c>
    </row>
    <row r="66" spans="3:7" x14ac:dyDescent="0.3">
      <c r="C66" s="19" t="s">
        <v>40</v>
      </c>
      <c r="D66" s="19" t="s">
        <v>38</v>
      </c>
      <c r="E66" s="19" t="s">
        <v>29</v>
      </c>
      <c r="F66" s="20">
        <v>2541</v>
      </c>
      <c r="G66" s="21">
        <v>45</v>
      </c>
    </row>
    <row r="67" spans="3:7" x14ac:dyDescent="0.3">
      <c r="C67" s="19" t="s">
        <v>40</v>
      </c>
      <c r="D67" s="19" t="s">
        <v>34</v>
      </c>
      <c r="E67" s="19" t="s">
        <v>26</v>
      </c>
      <c r="F67" s="20">
        <v>6748</v>
      </c>
      <c r="G67" s="21">
        <v>48</v>
      </c>
    </row>
    <row r="68" spans="3:7" x14ac:dyDescent="0.3">
      <c r="C68" s="19" t="s">
        <v>7</v>
      </c>
      <c r="D68" s="19" t="s">
        <v>37</v>
      </c>
      <c r="E68" s="19" t="s">
        <v>33</v>
      </c>
      <c r="F68" s="20">
        <v>6391</v>
      </c>
      <c r="G68" s="21">
        <v>48</v>
      </c>
    </row>
    <row r="69" spans="3:7" x14ac:dyDescent="0.3">
      <c r="C69" s="19" t="s">
        <v>7</v>
      </c>
      <c r="D69" s="19" t="s">
        <v>34</v>
      </c>
      <c r="E69" s="19" t="s">
        <v>33</v>
      </c>
      <c r="F69" s="20">
        <v>2226</v>
      </c>
      <c r="G69" s="21">
        <v>48</v>
      </c>
    </row>
    <row r="70" spans="3:7" x14ac:dyDescent="0.3">
      <c r="C70" s="19" t="s">
        <v>40</v>
      </c>
      <c r="D70" s="19" t="s">
        <v>35</v>
      </c>
      <c r="E70" s="19" t="s">
        <v>24</v>
      </c>
      <c r="F70" s="20">
        <v>1638</v>
      </c>
      <c r="G70" s="21">
        <v>48</v>
      </c>
    </row>
    <row r="71" spans="3:7" x14ac:dyDescent="0.3">
      <c r="C71" s="19" t="s">
        <v>6</v>
      </c>
      <c r="D71" s="19" t="s">
        <v>34</v>
      </c>
      <c r="E71" s="19" t="s">
        <v>4</v>
      </c>
      <c r="F71" s="20">
        <v>525</v>
      </c>
      <c r="G71" s="21">
        <v>48</v>
      </c>
    </row>
    <row r="72" spans="3:7" x14ac:dyDescent="0.3">
      <c r="C72" s="19" t="s">
        <v>2</v>
      </c>
      <c r="D72" s="19" t="s">
        <v>36</v>
      </c>
      <c r="E72" s="19" t="s">
        <v>17</v>
      </c>
      <c r="F72" s="20">
        <v>189</v>
      </c>
      <c r="G72" s="21">
        <v>48</v>
      </c>
    </row>
    <row r="73" spans="3:7" x14ac:dyDescent="0.3">
      <c r="C73" s="19" t="s">
        <v>5</v>
      </c>
      <c r="D73" s="19" t="s">
        <v>37</v>
      </c>
      <c r="E73" s="19" t="s">
        <v>31</v>
      </c>
      <c r="F73" s="20">
        <v>182</v>
      </c>
      <c r="G73" s="21">
        <v>48</v>
      </c>
    </row>
    <row r="74" spans="3:7" x14ac:dyDescent="0.3">
      <c r="C74" s="19" t="s">
        <v>5</v>
      </c>
      <c r="D74" s="19" t="s">
        <v>39</v>
      </c>
      <c r="E74" s="19" t="s">
        <v>26</v>
      </c>
      <c r="F74" s="20">
        <v>5236</v>
      </c>
      <c r="G74" s="21">
        <v>51</v>
      </c>
    </row>
    <row r="75" spans="3:7" x14ac:dyDescent="0.3">
      <c r="C75" s="19" t="s">
        <v>3</v>
      </c>
      <c r="D75" s="19" t="s">
        <v>39</v>
      </c>
      <c r="E75" s="19" t="s">
        <v>29</v>
      </c>
      <c r="F75" s="20">
        <v>3640</v>
      </c>
      <c r="G75" s="21">
        <v>51</v>
      </c>
    </row>
    <row r="76" spans="3:7" x14ac:dyDescent="0.3">
      <c r="C76" s="19" t="s">
        <v>40</v>
      </c>
      <c r="D76" s="19" t="s">
        <v>38</v>
      </c>
      <c r="E76" s="19" t="s">
        <v>24</v>
      </c>
      <c r="F76" s="20">
        <v>623</v>
      </c>
      <c r="G76" s="21">
        <v>51</v>
      </c>
    </row>
    <row r="77" spans="3:7" x14ac:dyDescent="0.3">
      <c r="C77" s="19" t="s">
        <v>2</v>
      </c>
      <c r="D77" s="19" t="s">
        <v>38</v>
      </c>
      <c r="E77" s="19" t="s">
        <v>13</v>
      </c>
      <c r="F77" s="20">
        <v>56</v>
      </c>
      <c r="G77" s="21">
        <v>51</v>
      </c>
    </row>
    <row r="78" spans="3:7" x14ac:dyDescent="0.3">
      <c r="C78" s="19" t="s">
        <v>5</v>
      </c>
      <c r="D78" s="19" t="s">
        <v>38</v>
      </c>
      <c r="E78" s="19" t="s">
        <v>13</v>
      </c>
      <c r="F78" s="20">
        <v>7189</v>
      </c>
      <c r="G78" s="21">
        <v>54</v>
      </c>
    </row>
    <row r="79" spans="3:7" x14ac:dyDescent="0.3">
      <c r="C79" s="19" t="s">
        <v>7</v>
      </c>
      <c r="D79" s="19" t="s">
        <v>37</v>
      </c>
      <c r="E79" s="19" t="s">
        <v>30</v>
      </c>
      <c r="F79" s="20">
        <v>6454</v>
      </c>
      <c r="G79" s="21">
        <v>54</v>
      </c>
    </row>
    <row r="80" spans="3:7" x14ac:dyDescent="0.3">
      <c r="C80" s="19" t="s">
        <v>3</v>
      </c>
      <c r="D80" s="19" t="s">
        <v>34</v>
      </c>
      <c r="E80" s="19" t="s">
        <v>26</v>
      </c>
      <c r="F80" s="20">
        <v>3108</v>
      </c>
      <c r="G80" s="21">
        <v>54</v>
      </c>
    </row>
    <row r="81" spans="3:7" x14ac:dyDescent="0.3">
      <c r="C81" s="19" t="s">
        <v>6</v>
      </c>
      <c r="D81" s="19" t="s">
        <v>38</v>
      </c>
      <c r="E81" s="19" t="s">
        <v>31</v>
      </c>
      <c r="F81" s="20">
        <v>2681</v>
      </c>
      <c r="G81" s="21">
        <v>54</v>
      </c>
    </row>
    <row r="82" spans="3:7" x14ac:dyDescent="0.3">
      <c r="C82" s="19" t="s">
        <v>2</v>
      </c>
      <c r="D82" s="19" t="s">
        <v>37</v>
      </c>
      <c r="E82" s="19" t="s">
        <v>14</v>
      </c>
      <c r="F82" s="20">
        <v>1057</v>
      </c>
      <c r="G82" s="21">
        <v>54</v>
      </c>
    </row>
    <row r="83" spans="3:7" x14ac:dyDescent="0.3">
      <c r="C83" s="19" t="s">
        <v>2</v>
      </c>
      <c r="D83" s="19" t="s">
        <v>34</v>
      </c>
      <c r="E83" s="19" t="s">
        <v>13</v>
      </c>
      <c r="F83" s="20">
        <v>252</v>
      </c>
      <c r="G83" s="21">
        <v>54</v>
      </c>
    </row>
    <row r="84" spans="3:7" x14ac:dyDescent="0.3">
      <c r="C84" s="19" t="s">
        <v>9</v>
      </c>
      <c r="D84" s="19" t="s">
        <v>36</v>
      </c>
      <c r="E84" s="19" t="s">
        <v>30</v>
      </c>
      <c r="F84" s="20">
        <v>9051</v>
      </c>
      <c r="G84" s="21">
        <v>57</v>
      </c>
    </row>
    <row r="85" spans="3:7" x14ac:dyDescent="0.3">
      <c r="C85" s="19" t="s">
        <v>9</v>
      </c>
      <c r="D85" s="19" t="s">
        <v>38</v>
      </c>
      <c r="E85" s="19" t="s">
        <v>24</v>
      </c>
      <c r="F85" s="20">
        <v>4137</v>
      </c>
      <c r="G85" s="21">
        <v>60</v>
      </c>
    </row>
    <row r="86" spans="3:7" x14ac:dyDescent="0.3">
      <c r="C86" s="19" t="s">
        <v>5</v>
      </c>
      <c r="D86" s="19" t="s">
        <v>36</v>
      </c>
      <c r="E86" s="19" t="s">
        <v>13</v>
      </c>
      <c r="F86" s="20">
        <v>6146</v>
      </c>
      <c r="G86" s="21">
        <v>63</v>
      </c>
    </row>
    <row r="87" spans="3:7" x14ac:dyDescent="0.3">
      <c r="C87" s="19" t="s">
        <v>7</v>
      </c>
      <c r="D87" s="19" t="s">
        <v>35</v>
      </c>
      <c r="E87" s="19" t="s">
        <v>14</v>
      </c>
      <c r="F87" s="20">
        <v>4606</v>
      </c>
      <c r="G87" s="21">
        <v>63</v>
      </c>
    </row>
    <row r="88" spans="3:7" x14ac:dyDescent="0.3">
      <c r="C88" s="19" t="s">
        <v>8</v>
      </c>
      <c r="D88" s="19" t="s">
        <v>38</v>
      </c>
      <c r="E88" s="19" t="s">
        <v>27</v>
      </c>
      <c r="F88" s="20">
        <v>2268</v>
      </c>
      <c r="G88" s="21">
        <v>63</v>
      </c>
    </row>
    <row r="89" spans="3:7" x14ac:dyDescent="0.3">
      <c r="C89" s="19" t="s">
        <v>6</v>
      </c>
      <c r="D89" s="19" t="s">
        <v>39</v>
      </c>
      <c r="E89" s="19" t="s">
        <v>30</v>
      </c>
      <c r="F89" s="20">
        <v>1638</v>
      </c>
      <c r="G89" s="21">
        <v>63</v>
      </c>
    </row>
    <row r="90" spans="3:7" x14ac:dyDescent="0.3">
      <c r="C90" s="19" t="s">
        <v>6</v>
      </c>
      <c r="D90" s="19" t="s">
        <v>36</v>
      </c>
      <c r="E90" s="19" t="s">
        <v>21</v>
      </c>
      <c r="F90" s="20">
        <v>497</v>
      </c>
      <c r="G90" s="21">
        <v>63</v>
      </c>
    </row>
    <row r="91" spans="3:7" x14ac:dyDescent="0.3">
      <c r="C91" s="19" t="s">
        <v>3</v>
      </c>
      <c r="D91" s="19" t="s">
        <v>35</v>
      </c>
      <c r="E91" s="19" t="s">
        <v>29</v>
      </c>
      <c r="F91" s="20">
        <v>2114</v>
      </c>
      <c r="G91" s="21">
        <v>66</v>
      </c>
    </row>
    <row r="92" spans="3:7" x14ac:dyDescent="0.3">
      <c r="C92" s="19" t="s">
        <v>41</v>
      </c>
      <c r="D92" s="19" t="s">
        <v>35</v>
      </c>
      <c r="E92" s="19" t="s">
        <v>13</v>
      </c>
      <c r="F92" s="20">
        <v>4760</v>
      </c>
      <c r="G92" s="21">
        <v>69</v>
      </c>
    </row>
    <row r="93" spans="3:7" x14ac:dyDescent="0.3">
      <c r="C93" s="19" t="s">
        <v>40</v>
      </c>
      <c r="D93" s="19" t="s">
        <v>37</v>
      </c>
      <c r="E93" s="19" t="s">
        <v>29</v>
      </c>
      <c r="F93" s="20">
        <v>9002</v>
      </c>
      <c r="G93" s="21">
        <v>72</v>
      </c>
    </row>
    <row r="94" spans="3:7" x14ac:dyDescent="0.3">
      <c r="C94" s="19" t="s">
        <v>41</v>
      </c>
      <c r="D94" s="19" t="s">
        <v>39</v>
      </c>
      <c r="E94" s="19" t="s">
        <v>14</v>
      </c>
      <c r="F94" s="20">
        <v>3976</v>
      </c>
      <c r="G94" s="21">
        <v>72</v>
      </c>
    </row>
    <row r="95" spans="3:7" x14ac:dyDescent="0.3">
      <c r="C95" s="19" t="s">
        <v>9</v>
      </c>
      <c r="D95" s="19" t="s">
        <v>39</v>
      </c>
      <c r="E95" s="19" t="s">
        <v>25</v>
      </c>
      <c r="F95" s="20">
        <v>3192</v>
      </c>
      <c r="G95" s="21">
        <v>72</v>
      </c>
    </row>
    <row r="96" spans="3:7" x14ac:dyDescent="0.3">
      <c r="C96" s="19" t="s">
        <v>10</v>
      </c>
      <c r="D96" s="19" t="s">
        <v>36</v>
      </c>
      <c r="E96" s="19" t="s">
        <v>27</v>
      </c>
      <c r="F96" s="20">
        <v>1407</v>
      </c>
      <c r="G96" s="21">
        <v>72</v>
      </c>
    </row>
    <row r="97" spans="3:7" x14ac:dyDescent="0.3">
      <c r="C97" s="19" t="s">
        <v>2</v>
      </c>
      <c r="D97" s="19" t="s">
        <v>36</v>
      </c>
      <c r="E97" s="19" t="s">
        <v>29</v>
      </c>
      <c r="F97" s="20">
        <v>8211</v>
      </c>
      <c r="G97" s="21">
        <v>75</v>
      </c>
    </row>
    <row r="98" spans="3:7" x14ac:dyDescent="0.3">
      <c r="C98" s="19" t="s">
        <v>6</v>
      </c>
      <c r="D98" s="19" t="s">
        <v>34</v>
      </c>
      <c r="E98" s="19" t="s">
        <v>29</v>
      </c>
      <c r="F98" s="20">
        <v>3339</v>
      </c>
      <c r="G98" s="21">
        <v>75</v>
      </c>
    </row>
    <row r="99" spans="3:7" x14ac:dyDescent="0.3">
      <c r="C99" s="19" t="s">
        <v>7</v>
      </c>
      <c r="D99" s="19" t="s">
        <v>34</v>
      </c>
      <c r="E99" s="19" t="s">
        <v>32</v>
      </c>
      <c r="F99" s="20">
        <v>3262</v>
      </c>
      <c r="G99" s="21">
        <v>75</v>
      </c>
    </row>
    <row r="100" spans="3:7" x14ac:dyDescent="0.3">
      <c r="C100" s="19" t="s">
        <v>40</v>
      </c>
      <c r="D100" s="19" t="s">
        <v>34</v>
      </c>
      <c r="E100" s="19" t="s">
        <v>23</v>
      </c>
      <c r="F100" s="20">
        <v>2779</v>
      </c>
      <c r="G100" s="21">
        <v>75</v>
      </c>
    </row>
    <row r="101" spans="3:7" x14ac:dyDescent="0.3">
      <c r="C101" s="19" t="s">
        <v>6</v>
      </c>
      <c r="D101" s="19" t="s">
        <v>34</v>
      </c>
      <c r="E101" s="19" t="s">
        <v>16</v>
      </c>
      <c r="F101" s="20">
        <v>2219</v>
      </c>
      <c r="G101" s="21">
        <v>75</v>
      </c>
    </row>
    <row r="102" spans="3:7" x14ac:dyDescent="0.3">
      <c r="C102" s="19" t="s">
        <v>7</v>
      </c>
      <c r="D102" s="19" t="s">
        <v>38</v>
      </c>
      <c r="E102" s="19" t="s">
        <v>14</v>
      </c>
      <c r="F102" s="20">
        <v>1281</v>
      </c>
      <c r="G102" s="21">
        <v>75</v>
      </c>
    </row>
    <row r="103" spans="3:7" x14ac:dyDescent="0.3">
      <c r="C103" s="19" t="s">
        <v>10</v>
      </c>
      <c r="D103" s="19" t="s">
        <v>36</v>
      </c>
      <c r="E103" s="19" t="s">
        <v>13</v>
      </c>
      <c r="F103" s="20">
        <v>945</v>
      </c>
      <c r="G103" s="21">
        <v>75</v>
      </c>
    </row>
    <row r="104" spans="3:7" x14ac:dyDescent="0.3">
      <c r="C104" s="19" t="s">
        <v>5</v>
      </c>
      <c r="D104" s="19" t="s">
        <v>37</v>
      </c>
      <c r="E104" s="19" t="s">
        <v>22</v>
      </c>
      <c r="F104" s="20">
        <v>518</v>
      </c>
      <c r="G104" s="21">
        <v>75</v>
      </c>
    </row>
    <row r="105" spans="3:7" x14ac:dyDescent="0.3">
      <c r="C105" s="19" t="s">
        <v>6</v>
      </c>
      <c r="D105" s="19" t="s">
        <v>38</v>
      </c>
      <c r="E105" s="19" t="s">
        <v>25</v>
      </c>
      <c r="F105" s="20">
        <v>469</v>
      </c>
      <c r="G105" s="21">
        <v>75</v>
      </c>
    </row>
    <row r="106" spans="3:7" x14ac:dyDescent="0.3">
      <c r="C106" s="19" t="s">
        <v>8</v>
      </c>
      <c r="D106" s="19" t="s">
        <v>38</v>
      </c>
      <c r="E106" s="19" t="s">
        <v>21</v>
      </c>
      <c r="F106" s="20">
        <v>6433</v>
      </c>
      <c r="G106" s="21">
        <v>78</v>
      </c>
    </row>
    <row r="107" spans="3:7" x14ac:dyDescent="0.3">
      <c r="C107" s="19" t="s">
        <v>3</v>
      </c>
      <c r="D107" s="19" t="s">
        <v>35</v>
      </c>
      <c r="E107" s="19" t="s">
        <v>23</v>
      </c>
      <c r="F107" s="20">
        <v>2023</v>
      </c>
      <c r="G107" s="21">
        <v>78</v>
      </c>
    </row>
    <row r="108" spans="3:7" x14ac:dyDescent="0.3">
      <c r="C108" s="19" t="s">
        <v>2</v>
      </c>
      <c r="D108" s="19" t="s">
        <v>39</v>
      </c>
      <c r="E108" s="19" t="s">
        <v>27</v>
      </c>
      <c r="F108" s="20">
        <v>7812</v>
      </c>
      <c r="G108" s="21">
        <v>81</v>
      </c>
    </row>
    <row r="109" spans="3:7" x14ac:dyDescent="0.3">
      <c r="C109" s="19" t="s">
        <v>5</v>
      </c>
      <c r="D109" s="19" t="s">
        <v>39</v>
      </c>
      <c r="E109" s="19" t="s">
        <v>22</v>
      </c>
      <c r="F109" s="20">
        <v>6909</v>
      </c>
      <c r="G109" s="21">
        <v>81</v>
      </c>
    </row>
    <row r="110" spans="3:7" x14ac:dyDescent="0.3">
      <c r="C110" s="19" t="s">
        <v>8</v>
      </c>
      <c r="D110" s="19" t="s">
        <v>35</v>
      </c>
      <c r="E110" s="19" t="s">
        <v>30</v>
      </c>
      <c r="F110" s="20">
        <v>3598</v>
      </c>
      <c r="G110" s="21">
        <v>81</v>
      </c>
    </row>
    <row r="111" spans="3:7" x14ac:dyDescent="0.3">
      <c r="C111" s="19" t="s">
        <v>6</v>
      </c>
      <c r="D111" s="19" t="s">
        <v>37</v>
      </c>
      <c r="E111" s="19" t="s">
        <v>30</v>
      </c>
      <c r="F111" s="20">
        <v>560</v>
      </c>
      <c r="G111" s="21">
        <v>81</v>
      </c>
    </row>
    <row r="112" spans="3:7" x14ac:dyDescent="0.3">
      <c r="C112" s="19" t="s">
        <v>41</v>
      </c>
      <c r="D112" s="19" t="s">
        <v>36</v>
      </c>
      <c r="E112" s="19" t="s">
        <v>32</v>
      </c>
      <c r="F112" s="20">
        <v>10304</v>
      </c>
      <c r="G112" s="21">
        <v>84</v>
      </c>
    </row>
    <row r="113" spans="3:7" x14ac:dyDescent="0.3">
      <c r="C113" s="19" t="s">
        <v>5</v>
      </c>
      <c r="D113" s="19" t="s">
        <v>35</v>
      </c>
      <c r="E113" s="19" t="s">
        <v>22</v>
      </c>
      <c r="F113" s="20">
        <v>490</v>
      </c>
      <c r="G113" s="21">
        <v>84</v>
      </c>
    </row>
    <row r="114" spans="3:7" x14ac:dyDescent="0.3">
      <c r="C114" s="19" t="s">
        <v>8</v>
      </c>
      <c r="D114" s="19" t="s">
        <v>38</v>
      </c>
      <c r="E114" s="19" t="s">
        <v>22</v>
      </c>
      <c r="F114" s="20">
        <v>168</v>
      </c>
      <c r="G114" s="21">
        <v>84</v>
      </c>
    </row>
    <row r="115" spans="3:7" x14ac:dyDescent="0.3">
      <c r="C115" s="19" t="s">
        <v>9</v>
      </c>
      <c r="D115" s="19" t="s">
        <v>38</v>
      </c>
      <c r="E115" s="19" t="s">
        <v>33</v>
      </c>
      <c r="F115" s="20">
        <v>9506</v>
      </c>
      <c r="G115" s="21">
        <v>87</v>
      </c>
    </row>
    <row r="116" spans="3:7" x14ac:dyDescent="0.3">
      <c r="C116" s="19" t="s">
        <v>6</v>
      </c>
      <c r="D116" s="19" t="s">
        <v>37</v>
      </c>
      <c r="E116" s="19" t="s">
        <v>31</v>
      </c>
      <c r="F116" s="20">
        <v>7693</v>
      </c>
      <c r="G116" s="21">
        <v>87</v>
      </c>
    </row>
    <row r="117" spans="3:7" x14ac:dyDescent="0.3">
      <c r="C117" s="19" t="s">
        <v>10</v>
      </c>
      <c r="D117" s="19" t="s">
        <v>34</v>
      </c>
      <c r="E117" s="19" t="s">
        <v>17</v>
      </c>
      <c r="F117" s="20">
        <v>700</v>
      </c>
      <c r="G117" s="21">
        <v>87</v>
      </c>
    </row>
    <row r="118" spans="3:7" x14ac:dyDescent="0.3">
      <c r="C118" s="19" t="s">
        <v>40</v>
      </c>
      <c r="D118" s="19" t="s">
        <v>38</v>
      </c>
      <c r="E118" s="19" t="s">
        <v>26</v>
      </c>
      <c r="F118" s="20">
        <v>609</v>
      </c>
      <c r="G118" s="21">
        <v>87</v>
      </c>
    </row>
    <row r="119" spans="3:7" x14ac:dyDescent="0.3">
      <c r="C119" s="19" t="s">
        <v>8</v>
      </c>
      <c r="D119" s="19" t="s">
        <v>37</v>
      </c>
      <c r="E119" s="19" t="s">
        <v>21</v>
      </c>
      <c r="F119" s="20">
        <v>434</v>
      </c>
      <c r="G119" s="21">
        <v>87</v>
      </c>
    </row>
    <row r="120" spans="3:7" x14ac:dyDescent="0.3">
      <c r="C120" s="19" t="s">
        <v>7</v>
      </c>
      <c r="D120" s="19" t="s">
        <v>36</v>
      </c>
      <c r="E120" s="19" t="s">
        <v>32</v>
      </c>
      <c r="F120" s="20">
        <v>280</v>
      </c>
      <c r="G120" s="21">
        <v>87</v>
      </c>
    </row>
    <row r="121" spans="3:7" x14ac:dyDescent="0.3">
      <c r="C121" s="19" t="s">
        <v>40</v>
      </c>
      <c r="D121" s="19" t="s">
        <v>36</v>
      </c>
      <c r="E121" s="19" t="s">
        <v>33</v>
      </c>
      <c r="F121" s="20">
        <v>9772</v>
      </c>
      <c r="G121" s="21">
        <v>90</v>
      </c>
    </row>
    <row r="122" spans="3:7" x14ac:dyDescent="0.3">
      <c r="C122" s="19" t="s">
        <v>9</v>
      </c>
      <c r="D122" s="19" t="s">
        <v>34</v>
      </c>
      <c r="E122" s="19" t="s">
        <v>23</v>
      </c>
      <c r="F122" s="20">
        <v>8155</v>
      </c>
      <c r="G122" s="21">
        <v>90</v>
      </c>
    </row>
    <row r="123" spans="3:7" x14ac:dyDescent="0.3">
      <c r="C123" s="19" t="s">
        <v>40</v>
      </c>
      <c r="D123" s="19" t="s">
        <v>38</v>
      </c>
      <c r="E123" s="19" t="s">
        <v>25</v>
      </c>
      <c r="F123" s="20">
        <v>2541</v>
      </c>
      <c r="G123" s="21">
        <v>90</v>
      </c>
    </row>
    <row r="124" spans="3:7" x14ac:dyDescent="0.3">
      <c r="C124" s="19" t="s">
        <v>40</v>
      </c>
      <c r="D124" s="19" t="s">
        <v>37</v>
      </c>
      <c r="E124" s="19" t="s">
        <v>27</v>
      </c>
      <c r="F124" s="20">
        <v>6132</v>
      </c>
      <c r="G124" s="21">
        <v>93</v>
      </c>
    </row>
    <row r="125" spans="3:7" x14ac:dyDescent="0.3">
      <c r="C125" s="19" t="s">
        <v>3</v>
      </c>
      <c r="D125" s="19" t="s">
        <v>34</v>
      </c>
      <c r="E125" s="19" t="s">
        <v>17</v>
      </c>
      <c r="F125" s="20">
        <v>2919</v>
      </c>
      <c r="G125" s="21">
        <v>93</v>
      </c>
    </row>
    <row r="126" spans="3:7" x14ac:dyDescent="0.3">
      <c r="C126" s="19" t="s">
        <v>9</v>
      </c>
      <c r="D126" s="19" t="s">
        <v>37</v>
      </c>
      <c r="E126" s="19" t="s">
        <v>23</v>
      </c>
      <c r="F126" s="20">
        <v>2737</v>
      </c>
      <c r="G126" s="21">
        <v>93</v>
      </c>
    </row>
    <row r="127" spans="3:7" x14ac:dyDescent="0.3">
      <c r="C127" s="19" t="s">
        <v>5</v>
      </c>
      <c r="D127" s="19" t="s">
        <v>34</v>
      </c>
      <c r="E127" s="19" t="s">
        <v>33</v>
      </c>
      <c r="F127" s="20">
        <v>1652</v>
      </c>
      <c r="G127" s="21">
        <v>93</v>
      </c>
    </row>
    <row r="128" spans="3:7" x14ac:dyDescent="0.3">
      <c r="C128" s="19" t="s">
        <v>10</v>
      </c>
      <c r="D128" s="19" t="s">
        <v>34</v>
      </c>
      <c r="E128" s="19" t="s">
        <v>25</v>
      </c>
      <c r="F128" s="20">
        <v>1428</v>
      </c>
      <c r="G128" s="21">
        <v>93</v>
      </c>
    </row>
    <row r="129" spans="3:7" x14ac:dyDescent="0.3">
      <c r="C129" s="19" t="s">
        <v>9</v>
      </c>
      <c r="D129" s="19" t="s">
        <v>37</v>
      </c>
      <c r="E129" s="19" t="s">
        <v>20</v>
      </c>
      <c r="F129" s="20">
        <v>7273</v>
      </c>
      <c r="G129" s="21">
        <v>96</v>
      </c>
    </row>
    <row r="130" spans="3:7" x14ac:dyDescent="0.3">
      <c r="C130" s="19" t="s">
        <v>10</v>
      </c>
      <c r="D130" s="19" t="s">
        <v>35</v>
      </c>
      <c r="E130" s="19" t="s">
        <v>14</v>
      </c>
      <c r="F130" s="20">
        <v>3472</v>
      </c>
      <c r="G130" s="21">
        <v>96</v>
      </c>
    </row>
    <row r="131" spans="3:7" x14ac:dyDescent="0.3">
      <c r="C131" s="19" t="s">
        <v>7</v>
      </c>
      <c r="D131" s="19" t="s">
        <v>34</v>
      </c>
      <c r="E131" s="19" t="s">
        <v>25</v>
      </c>
      <c r="F131" s="20">
        <v>1568</v>
      </c>
      <c r="G131" s="21">
        <v>96</v>
      </c>
    </row>
    <row r="132" spans="3:7" x14ac:dyDescent="0.3">
      <c r="C132" s="19" t="s">
        <v>9</v>
      </c>
      <c r="D132" s="19" t="s">
        <v>38</v>
      </c>
      <c r="E132" s="19" t="s">
        <v>26</v>
      </c>
      <c r="F132" s="20">
        <v>2436</v>
      </c>
      <c r="G132" s="21">
        <v>99</v>
      </c>
    </row>
    <row r="133" spans="3:7" x14ac:dyDescent="0.3">
      <c r="C133" s="19" t="s">
        <v>41</v>
      </c>
      <c r="D133" s="19" t="s">
        <v>35</v>
      </c>
      <c r="E133" s="19" t="s">
        <v>19</v>
      </c>
      <c r="F133" s="20">
        <v>609</v>
      </c>
      <c r="G133" s="21">
        <v>99</v>
      </c>
    </row>
    <row r="134" spans="3:7" x14ac:dyDescent="0.3">
      <c r="C134" s="19" t="s">
        <v>41</v>
      </c>
      <c r="D134" s="19" t="s">
        <v>37</v>
      </c>
      <c r="E134" s="19" t="s">
        <v>24</v>
      </c>
      <c r="F134" s="20">
        <v>6398</v>
      </c>
      <c r="G134" s="21">
        <v>102</v>
      </c>
    </row>
    <row r="135" spans="3:7" x14ac:dyDescent="0.3">
      <c r="C135" s="19" t="s">
        <v>40</v>
      </c>
      <c r="D135" s="19" t="s">
        <v>38</v>
      </c>
      <c r="E135" s="19" t="s">
        <v>4</v>
      </c>
      <c r="F135" s="20">
        <v>6125</v>
      </c>
      <c r="G135" s="21">
        <v>102</v>
      </c>
    </row>
    <row r="136" spans="3:7" x14ac:dyDescent="0.3">
      <c r="C136" s="19" t="s">
        <v>9</v>
      </c>
      <c r="D136" s="19" t="s">
        <v>38</v>
      </c>
      <c r="E136" s="19" t="s">
        <v>25</v>
      </c>
      <c r="F136" s="20">
        <v>3850</v>
      </c>
      <c r="G136" s="21">
        <v>102</v>
      </c>
    </row>
    <row r="137" spans="3:7" x14ac:dyDescent="0.3">
      <c r="C137" s="19" t="s">
        <v>5</v>
      </c>
      <c r="D137" s="19" t="s">
        <v>34</v>
      </c>
      <c r="E137" s="19" t="s">
        <v>29</v>
      </c>
      <c r="F137" s="20">
        <v>2891</v>
      </c>
      <c r="G137" s="21">
        <v>102</v>
      </c>
    </row>
    <row r="138" spans="3:7" x14ac:dyDescent="0.3">
      <c r="C138" s="19" t="s">
        <v>3</v>
      </c>
      <c r="D138" s="19" t="s">
        <v>39</v>
      </c>
      <c r="E138" s="19" t="s">
        <v>28</v>
      </c>
      <c r="F138" s="20">
        <v>1652</v>
      </c>
      <c r="G138" s="21">
        <v>102</v>
      </c>
    </row>
    <row r="139" spans="3:7" x14ac:dyDescent="0.3">
      <c r="C139" s="19" t="s">
        <v>6</v>
      </c>
      <c r="D139" s="19" t="s">
        <v>37</v>
      </c>
      <c r="E139" s="19" t="s">
        <v>18</v>
      </c>
      <c r="F139" s="20">
        <v>1505</v>
      </c>
      <c r="G139" s="21">
        <v>102</v>
      </c>
    </row>
    <row r="140" spans="3:7" x14ac:dyDescent="0.3">
      <c r="C140" s="19" t="s">
        <v>5</v>
      </c>
      <c r="D140" s="19" t="s">
        <v>36</v>
      </c>
      <c r="E140" s="19" t="s">
        <v>30</v>
      </c>
      <c r="F140" s="20">
        <v>1526</v>
      </c>
      <c r="G140" s="21">
        <v>105</v>
      </c>
    </row>
    <row r="141" spans="3:7" x14ac:dyDescent="0.3">
      <c r="C141" s="19" t="s">
        <v>7</v>
      </c>
      <c r="D141" s="19" t="s">
        <v>37</v>
      </c>
      <c r="E141" s="19" t="s">
        <v>17</v>
      </c>
      <c r="F141" s="20">
        <v>4487</v>
      </c>
      <c r="G141" s="21">
        <v>111</v>
      </c>
    </row>
    <row r="142" spans="3:7" x14ac:dyDescent="0.3">
      <c r="C142" s="19" t="s">
        <v>7</v>
      </c>
      <c r="D142" s="19" t="s">
        <v>35</v>
      </c>
      <c r="E142" s="19" t="s">
        <v>24</v>
      </c>
      <c r="F142" s="20">
        <v>2793</v>
      </c>
      <c r="G142" s="21">
        <v>114</v>
      </c>
    </row>
    <row r="143" spans="3:7" x14ac:dyDescent="0.3">
      <c r="C143" s="19" t="s">
        <v>9</v>
      </c>
      <c r="D143" s="19" t="s">
        <v>36</v>
      </c>
      <c r="E143" s="19" t="s">
        <v>25</v>
      </c>
      <c r="F143" s="20">
        <v>2142</v>
      </c>
      <c r="G143" s="21">
        <v>114</v>
      </c>
    </row>
    <row r="144" spans="3:7" x14ac:dyDescent="0.3">
      <c r="C144" s="19" t="s">
        <v>40</v>
      </c>
      <c r="D144" s="19" t="s">
        <v>37</v>
      </c>
      <c r="E144" s="19" t="s">
        <v>30</v>
      </c>
      <c r="F144" s="20">
        <v>1624</v>
      </c>
      <c r="G144" s="21">
        <v>114</v>
      </c>
    </row>
    <row r="145" spans="3:7" x14ac:dyDescent="0.3">
      <c r="C145" s="19" t="s">
        <v>3</v>
      </c>
      <c r="D145" s="19" t="s">
        <v>34</v>
      </c>
      <c r="E145" s="19" t="s">
        <v>23</v>
      </c>
      <c r="F145" s="20">
        <v>2212</v>
      </c>
      <c r="G145" s="21">
        <v>117</v>
      </c>
    </row>
    <row r="146" spans="3:7" x14ac:dyDescent="0.3">
      <c r="C146" s="19" t="s">
        <v>7</v>
      </c>
      <c r="D146" s="19" t="s">
        <v>36</v>
      </c>
      <c r="E146" s="19" t="s">
        <v>31</v>
      </c>
      <c r="F146" s="20">
        <v>2149</v>
      </c>
      <c r="G146" s="21">
        <v>117</v>
      </c>
    </row>
    <row r="147" spans="3:7" x14ac:dyDescent="0.3">
      <c r="C147" s="19" t="s">
        <v>2</v>
      </c>
      <c r="D147" s="19" t="s">
        <v>39</v>
      </c>
      <c r="E147" s="19" t="s">
        <v>16</v>
      </c>
      <c r="F147" s="20">
        <v>2016</v>
      </c>
      <c r="G147" s="21">
        <v>117</v>
      </c>
    </row>
    <row r="148" spans="3:7" x14ac:dyDescent="0.3">
      <c r="C148" s="19" t="s">
        <v>6</v>
      </c>
      <c r="D148" s="19" t="s">
        <v>36</v>
      </c>
      <c r="E148" s="19" t="s">
        <v>4</v>
      </c>
      <c r="F148" s="20">
        <v>10073</v>
      </c>
      <c r="G148" s="21">
        <v>120</v>
      </c>
    </row>
    <row r="149" spans="3:7" x14ac:dyDescent="0.3">
      <c r="C149" s="19" t="s">
        <v>2</v>
      </c>
      <c r="D149" s="19" t="s">
        <v>34</v>
      </c>
      <c r="E149" s="19" t="s">
        <v>19</v>
      </c>
      <c r="F149" s="20">
        <v>7511</v>
      </c>
      <c r="G149" s="21">
        <v>120</v>
      </c>
    </row>
    <row r="150" spans="3:7" x14ac:dyDescent="0.3">
      <c r="C150" s="19" t="s">
        <v>9</v>
      </c>
      <c r="D150" s="19" t="s">
        <v>38</v>
      </c>
      <c r="E150" s="19" t="s">
        <v>16</v>
      </c>
      <c r="F150" s="20">
        <v>2646</v>
      </c>
      <c r="G150" s="21">
        <v>120</v>
      </c>
    </row>
    <row r="151" spans="3:7" x14ac:dyDescent="0.3">
      <c r="C151" s="19" t="s">
        <v>6</v>
      </c>
      <c r="D151" s="19" t="s">
        <v>34</v>
      </c>
      <c r="E151" s="19" t="s">
        <v>32</v>
      </c>
      <c r="F151" s="20">
        <v>6734</v>
      </c>
      <c r="G151" s="21">
        <v>123</v>
      </c>
    </row>
    <row r="152" spans="3:7" x14ac:dyDescent="0.3">
      <c r="C152" s="19" t="s">
        <v>6</v>
      </c>
      <c r="D152" s="19" t="s">
        <v>35</v>
      </c>
      <c r="E152" s="19" t="s">
        <v>30</v>
      </c>
      <c r="F152" s="20">
        <v>4781</v>
      </c>
      <c r="G152" s="21">
        <v>123</v>
      </c>
    </row>
    <row r="153" spans="3:7" x14ac:dyDescent="0.3">
      <c r="C153" s="19" t="s">
        <v>41</v>
      </c>
      <c r="D153" s="19" t="s">
        <v>37</v>
      </c>
      <c r="E153" s="19" t="s">
        <v>20</v>
      </c>
      <c r="F153" s="20">
        <v>3388</v>
      </c>
      <c r="G153" s="21">
        <v>123</v>
      </c>
    </row>
    <row r="154" spans="3:7" x14ac:dyDescent="0.3">
      <c r="C154" s="19" t="s">
        <v>6</v>
      </c>
      <c r="D154" s="19" t="s">
        <v>38</v>
      </c>
      <c r="E154" s="19" t="s">
        <v>13</v>
      </c>
      <c r="F154" s="20">
        <v>2317</v>
      </c>
      <c r="G154" s="21">
        <v>123</v>
      </c>
    </row>
    <row r="155" spans="3:7" x14ac:dyDescent="0.3">
      <c r="C155" s="19" t="s">
        <v>10</v>
      </c>
      <c r="D155" s="19" t="s">
        <v>38</v>
      </c>
      <c r="E155" s="19" t="s">
        <v>13</v>
      </c>
      <c r="F155" s="20">
        <v>63</v>
      </c>
      <c r="G155" s="21">
        <v>123</v>
      </c>
    </row>
    <row r="156" spans="3:7" x14ac:dyDescent="0.3">
      <c r="C156" s="19" t="s">
        <v>10</v>
      </c>
      <c r="D156" s="19" t="s">
        <v>38</v>
      </c>
      <c r="E156" s="19" t="s">
        <v>4</v>
      </c>
      <c r="F156" s="20">
        <v>6860</v>
      </c>
      <c r="G156" s="21">
        <v>126</v>
      </c>
    </row>
    <row r="157" spans="3:7" x14ac:dyDescent="0.3">
      <c r="C157" s="19" t="s">
        <v>41</v>
      </c>
      <c r="D157" s="19" t="s">
        <v>34</v>
      </c>
      <c r="E157" s="19" t="s">
        <v>23</v>
      </c>
      <c r="F157" s="20">
        <v>4935</v>
      </c>
      <c r="G157" s="21">
        <v>126</v>
      </c>
    </row>
    <row r="158" spans="3:7" x14ac:dyDescent="0.3">
      <c r="C158" s="19" t="s">
        <v>2</v>
      </c>
      <c r="D158" s="19" t="s">
        <v>39</v>
      </c>
      <c r="E158" s="19" t="s">
        <v>33</v>
      </c>
      <c r="F158" s="20">
        <v>4018</v>
      </c>
      <c r="G158" s="21">
        <v>126</v>
      </c>
    </row>
    <row r="159" spans="3:7" x14ac:dyDescent="0.3">
      <c r="C159" s="19" t="s">
        <v>40</v>
      </c>
      <c r="D159" s="19" t="s">
        <v>35</v>
      </c>
      <c r="E159" s="19" t="s">
        <v>29</v>
      </c>
      <c r="F159" s="20">
        <v>1617</v>
      </c>
      <c r="G159" s="21">
        <v>126</v>
      </c>
    </row>
    <row r="160" spans="3:7" x14ac:dyDescent="0.3">
      <c r="C160" s="19" t="s">
        <v>8</v>
      </c>
      <c r="D160" s="19" t="s">
        <v>35</v>
      </c>
      <c r="E160" s="19" t="s">
        <v>33</v>
      </c>
      <c r="F160" s="20">
        <v>357</v>
      </c>
      <c r="G160" s="21">
        <v>126</v>
      </c>
    </row>
    <row r="161" spans="3:7" x14ac:dyDescent="0.3">
      <c r="C161" s="19" t="s">
        <v>41</v>
      </c>
      <c r="D161" s="19" t="s">
        <v>35</v>
      </c>
      <c r="E161" s="19" t="s">
        <v>27</v>
      </c>
      <c r="F161" s="20">
        <v>847</v>
      </c>
      <c r="G161" s="21">
        <v>129</v>
      </c>
    </row>
    <row r="162" spans="3:7" x14ac:dyDescent="0.3">
      <c r="C162" s="19" t="s">
        <v>40</v>
      </c>
      <c r="D162" s="19" t="s">
        <v>34</v>
      </c>
      <c r="E162" s="19" t="s">
        <v>27</v>
      </c>
      <c r="F162" s="20">
        <v>2289</v>
      </c>
      <c r="G162" s="21">
        <v>135</v>
      </c>
    </row>
    <row r="163" spans="3:7" x14ac:dyDescent="0.3">
      <c r="C163" s="19" t="s">
        <v>6</v>
      </c>
      <c r="D163" s="19" t="s">
        <v>36</v>
      </c>
      <c r="E163" s="19" t="s">
        <v>29</v>
      </c>
      <c r="F163" s="20">
        <v>1400</v>
      </c>
      <c r="G163" s="21">
        <v>135</v>
      </c>
    </row>
    <row r="164" spans="3:7" x14ac:dyDescent="0.3">
      <c r="C164" s="19" t="s">
        <v>6</v>
      </c>
      <c r="D164" s="19" t="s">
        <v>38</v>
      </c>
      <c r="E164" s="19" t="s">
        <v>33</v>
      </c>
      <c r="F164" s="20">
        <v>959</v>
      </c>
      <c r="G164" s="21">
        <v>135</v>
      </c>
    </row>
    <row r="165" spans="3:7" x14ac:dyDescent="0.3">
      <c r="C165" s="19" t="s">
        <v>40</v>
      </c>
      <c r="D165" s="19" t="s">
        <v>39</v>
      </c>
      <c r="E165" s="19" t="s">
        <v>29</v>
      </c>
      <c r="F165" s="20">
        <v>0</v>
      </c>
      <c r="G165" s="21">
        <v>135</v>
      </c>
    </row>
    <row r="166" spans="3:7" x14ac:dyDescent="0.3">
      <c r="C166" s="19" t="s">
        <v>2</v>
      </c>
      <c r="D166" s="19" t="s">
        <v>37</v>
      </c>
      <c r="E166" s="19" t="s">
        <v>18</v>
      </c>
      <c r="F166" s="20">
        <v>11571</v>
      </c>
      <c r="G166" s="21">
        <v>138</v>
      </c>
    </row>
    <row r="167" spans="3:7" x14ac:dyDescent="0.3">
      <c r="C167" s="19" t="s">
        <v>7</v>
      </c>
      <c r="D167" s="19" t="s">
        <v>34</v>
      </c>
      <c r="E167" s="19" t="s">
        <v>20</v>
      </c>
      <c r="F167" s="20">
        <v>2205</v>
      </c>
      <c r="G167" s="21">
        <v>138</v>
      </c>
    </row>
    <row r="168" spans="3:7" x14ac:dyDescent="0.3">
      <c r="C168" s="19" t="s">
        <v>10</v>
      </c>
      <c r="D168" s="19" t="s">
        <v>38</v>
      </c>
      <c r="E168" s="19" t="s">
        <v>22</v>
      </c>
      <c r="F168" s="20">
        <v>2205</v>
      </c>
      <c r="G168" s="21">
        <v>141</v>
      </c>
    </row>
    <row r="169" spans="3:7" x14ac:dyDescent="0.3">
      <c r="C169" s="19" t="s">
        <v>2</v>
      </c>
      <c r="D169" s="19" t="s">
        <v>39</v>
      </c>
      <c r="E169" s="19" t="s">
        <v>22</v>
      </c>
      <c r="F169" s="20">
        <v>1568</v>
      </c>
      <c r="G169" s="21">
        <v>141</v>
      </c>
    </row>
    <row r="170" spans="3:7" x14ac:dyDescent="0.3">
      <c r="C170" s="19" t="s">
        <v>2</v>
      </c>
      <c r="D170" s="19" t="s">
        <v>39</v>
      </c>
      <c r="E170" s="19" t="s">
        <v>28</v>
      </c>
      <c r="F170" s="20">
        <v>6027</v>
      </c>
      <c r="G170" s="21">
        <v>144</v>
      </c>
    </row>
    <row r="171" spans="3:7" x14ac:dyDescent="0.3">
      <c r="C171" s="19" t="s">
        <v>3</v>
      </c>
      <c r="D171" s="19" t="s">
        <v>37</v>
      </c>
      <c r="E171" s="19" t="s">
        <v>17</v>
      </c>
      <c r="F171" s="20">
        <v>3983</v>
      </c>
      <c r="G171" s="21">
        <v>144</v>
      </c>
    </row>
    <row r="172" spans="3:7" x14ac:dyDescent="0.3">
      <c r="C172" s="19" t="s">
        <v>9</v>
      </c>
      <c r="D172" s="19" t="s">
        <v>35</v>
      </c>
      <c r="E172" s="19" t="s">
        <v>27</v>
      </c>
      <c r="F172" s="20">
        <v>2429</v>
      </c>
      <c r="G172" s="21">
        <v>144</v>
      </c>
    </row>
    <row r="173" spans="3:7" x14ac:dyDescent="0.3">
      <c r="C173" s="19" t="s">
        <v>41</v>
      </c>
      <c r="D173" s="19" t="s">
        <v>34</v>
      </c>
      <c r="E173" s="19" t="s">
        <v>22</v>
      </c>
      <c r="F173" s="20">
        <v>336</v>
      </c>
      <c r="G173" s="21">
        <v>144</v>
      </c>
    </row>
    <row r="174" spans="3:7" x14ac:dyDescent="0.3">
      <c r="C174" s="19" t="s">
        <v>9</v>
      </c>
      <c r="D174" s="19" t="s">
        <v>35</v>
      </c>
      <c r="E174" s="19" t="s">
        <v>4</v>
      </c>
      <c r="F174" s="20">
        <v>959</v>
      </c>
      <c r="G174" s="21">
        <v>147</v>
      </c>
    </row>
    <row r="175" spans="3:7" x14ac:dyDescent="0.3">
      <c r="C175" s="19" t="s">
        <v>9</v>
      </c>
      <c r="D175" s="19" t="s">
        <v>34</v>
      </c>
      <c r="E175" s="19" t="s">
        <v>28</v>
      </c>
      <c r="F175" s="20">
        <v>14329</v>
      </c>
      <c r="G175" s="21">
        <v>150</v>
      </c>
    </row>
    <row r="176" spans="3:7" x14ac:dyDescent="0.3">
      <c r="C176" s="19" t="s">
        <v>8</v>
      </c>
      <c r="D176" s="19" t="s">
        <v>36</v>
      </c>
      <c r="E176" s="19" t="s">
        <v>23</v>
      </c>
      <c r="F176" s="20">
        <v>5019</v>
      </c>
      <c r="G176" s="21">
        <v>150</v>
      </c>
    </row>
    <row r="177" spans="3:7" x14ac:dyDescent="0.3">
      <c r="C177" s="19" t="s">
        <v>6</v>
      </c>
      <c r="D177" s="19" t="s">
        <v>34</v>
      </c>
      <c r="E177" s="19" t="s">
        <v>17</v>
      </c>
      <c r="F177" s="20">
        <v>3759</v>
      </c>
      <c r="G177" s="21">
        <v>150</v>
      </c>
    </row>
    <row r="178" spans="3:7" x14ac:dyDescent="0.3">
      <c r="C178" s="19" t="s">
        <v>8</v>
      </c>
      <c r="D178" s="19" t="s">
        <v>37</v>
      </c>
      <c r="E178" s="19" t="s">
        <v>30</v>
      </c>
      <c r="F178" s="20">
        <v>42</v>
      </c>
      <c r="G178" s="21">
        <v>150</v>
      </c>
    </row>
    <row r="179" spans="3:7" x14ac:dyDescent="0.3">
      <c r="C179" s="19" t="s">
        <v>2</v>
      </c>
      <c r="D179" s="19" t="s">
        <v>38</v>
      </c>
      <c r="E179" s="19" t="s">
        <v>23</v>
      </c>
      <c r="F179" s="20">
        <v>4417</v>
      </c>
      <c r="G179" s="21">
        <v>153</v>
      </c>
    </row>
    <row r="180" spans="3:7" x14ac:dyDescent="0.3">
      <c r="C180" s="19" t="s">
        <v>40</v>
      </c>
      <c r="D180" s="19" t="s">
        <v>34</v>
      </c>
      <c r="E180" s="19" t="s">
        <v>17</v>
      </c>
      <c r="F180" s="20">
        <v>5019</v>
      </c>
      <c r="G180" s="21">
        <v>156</v>
      </c>
    </row>
    <row r="181" spans="3:7" x14ac:dyDescent="0.3">
      <c r="C181" s="19" t="s">
        <v>6</v>
      </c>
      <c r="D181" s="19" t="s">
        <v>36</v>
      </c>
      <c r="E181" s="19" t="s">
        <v>17</v>
      </c>
      <c r="F181" s="20">
        <v>4970</v>
      </c>
      <c r="G181" s="21">
        <v>156</v>
      </c>
    </row>
    <row r="182" spans="3:7" x14ac:dyDescent="0.3">
      <c r="C182" s="19" t="s">
        <v>9</v>
      </c>
      <c r="D182" s="19" t="s">
        <v>37</v>
      </c>
      <c r="E182" s="19" t="s">
        <v>25</v>
      </c>
      <c r="F182" s="20">
        <v>4305</v>
      </c>
      <c r="G182" s="21">
        <v>156</v>
      </c>
    </row>
    <row r="183" spans="3:7" x14ac:dyDescent="0.3">
      <c r="C183" s="19" t="s">
        <v>40</v>
      </c>
      <c r="D183" s="19" t="s">
        <v>34</v>
      </c>
      <c r="E183" s="19" t="s">
        <v>33</v>
      </c>
      <c r="F183" s="20">
        <v>3794</v>
      </c>
      <c r="G183" s="21">
        <v>159</v>
      </c>
    </row>
    <row r="184" spans="3:7" x14ac:dyDescent="0.3">
      <c r="C184" s="19" t="s">
        <v>9</v>
      </c>
      <c r="D184" s="19" t="s">
        <v>35</v>
      </c>
      <c r="E184" s="19" t="s">
        <v>26</v>
      </c>
      <c r="F184" s="20">
        <v>98</v>
      </c>
      <c r="G184" s="21">
        <v>159</v>
      </c>
    </row>
    <row r="185" spans="3:7" x14ac:dyDescent="0.3">
      <c r="C185" s="19" t="s">
        <v>2</v>
      </c>
      <c r="D185" s="19" t="s">
        <v>39</v>
      </c>
      <c r="E185" s="19" t="s">
        <v>20</v>
      </c>
      <c r="F185" s="20">
        <v>9443</v>
      </c>
      <c r="G185" s="21">
        <v>162</v>
      </c>
    </row>
    <row r="186" spans="3:7" x14ac:dyDescent="0.3">
      <c r="C186" s="19" t="s">
        <v>40</v>
      </c>
      <c r="D186" s="19" t="s">
        <v>34</v>
      </c>
      <c r="E186" s="19" t="s">
        <v>19</v>
      </c>
      <c r="F186" s="20">
        <v>4018</v>
      </c>
      <c r="G186" s="21">
        <v>162</v>
      </c>
    </row>
    <row r="187" spans="3:7" x14ac:dyDescent="0.3">
      <c r="C187" s="19" t="s">
        <v>3</v>
      </c>
      <c r="D187" s="19" t="s">
        <v>36</v>
      </c>
      <c r="E187" s="19" t="s">
        <v>28</v>
      </c>
      <c r="F187" s="20">
        <v>973</v>
      </c>
      <c r="G187" s="21">
        <v>162</v>
      </c>
    </row>
    <row r="188" spans="3:7" x14ac:dyDescent="0.3">
      <c r="C188" s="19" t="s">
        <v>3</v>
      </c>
      <c r="D188" s="19" t="s">
        <v>36</v>
      </c>
      <c r="E188" s="19" t="s">
        <v>23</v>
      </c>
      <c r="F188" s="20">
        <v>3773</v>
      </c>
      <c r="G188" s="21">
        <v>165</v>
      </c>
    </row>
    <row r="189" spans="3:7" x14ac:dyDescent="0.3">
      <c r="C189" s="19" t="s">
        <v>5</v>
      </c>
      <c r="D189" s="19" t="s">
        <v>38</v>
      </c>
      <c r="E189" s="19" t="s">
        <v>19</v>
      </c>
      <c r="F189" s="20">
        <v>5474</v>
      </c>
      <c r="G189" s="21">
        <v>168</v>
      </c>
    </row>
    <row r="190" spans="3:7" x14ac:dyDescent="0.3">
      <c r="C190" s="19" t="s">
        <v>8</v>
      </c>
      <c r="D190" s="19" t="s">
        <v>35</v>
      </c>
      <c r="E190" s="19" t="s">
        <v>29</v>
      </c>
      <c r="F190" s="20">
        <v>2023</v>
      </c>
      <c r="G190" s="21">
        <v>168</v>
      </c>
    </row>
    <row r="191" spans="3:7" x14ac:dyDescent="0.3">
      <c r="C191" s="19" t="s">
        <v>3</v>
      </c>
      <c r="D191" s="19" t="s">
        <v>39</v>
      </c>
      <c r="E191" s="19" t="s">
        <v>16</v>
      </c>
      <c r="F191" s="20">
        <v>21</v>
      </c>
      <c r="G191" s="21">
        <v>168</v>
      </c>
    </row>
    <row r="192" spans="3:7" x14ac:dyDescent="0.3">
      <c r="C192" s="19" t="s">
        <v>3</v>
      </c>
      <c r="D192" s="19" t="s">
        <v>39</v>
      </c>
      <c r="E192" s="19" t="s">
        <v>26</v>
      </c>
      <c r="F192" s="20">
        <v>4956</v>
      </c>
      <c r="G192" s="21">
        <v>171</v>
      </c>
    </row>
    <row r="193" spans="3:7" x14ac:dyDescent="0.3">
      <c r="C193" s="19" t="s">
        <v>5</v>
      </c>
      <c r="D193" s="19" t="s">
        <v>39</v>
      </c>
      <c r="E193" s="19" t="s">
        <v>24</v>
      </c>
      <c r="F193" s="20">
        <v>4018</v>
      </c>
      <c r="G193" s="21">
        <v>171</v>
      </c>
    </row>
    <row r="194" spans="3:7" x14ac:dyDescent="0.3">
      <c r="C194" s="19" t="s">
        <v>41</v>
      </c>
      <c r="D194" s="19" t="s">
        <v>34</v>
      </c>
      <c r="E194" s="19" t="s">
        <v>33</v>
      </c>
      <c r="F194" s="20">
        <v>7847</v>
      </c>
      <c r="G194" s="21">
        <v>174</v>
      </c>
    </row>
    <row r="195" spans="3:7" x14ac:dyDescent="0.3">
      <c r="C195" s="19" t="s">
        <v>41</v>
      </c>
      <c r="D195" s="19" t="s">
        <v>36</v>
      </c>
      <c r="E195" s="19" t="s">
        <v>30</v>
      </c>
      <c r="F195" s="20">
        <v>6118</v>
      </c>
      <c r="G195" s="21">
        <v>174</v>
      </c>
    </row>
    <row r="196" spans="3:7" x14ac:dyDescent="0.3">
      <c r="C196" s="19" t="s">
        <v>40</v>
      </c>
      <c r="D196" s="19" t="s">
        <v>35</v>
      </c>
      <c r="E196" s="19" t="s">
        <v>16</v>
      </c>
      <c r="F196" s="20">
        <v>4725</v>
      </c>
      <c r="G196" s="21">
        <v>174</v>
      </c>
    </row>
    <row r="197" spans="3:7" x14ac:dyDescent="0.3">
      <c r="C197" s="19" t="s">
        <v>9</v>
      </c>
      <c r="D197" s="19" t="s">
        <v>34</v>
      </c>
      <c r="E197" s="19" t="s">
        <v>17</v>
      </c>
      <c r="F197" s="20">
        <v>707</v>
      </c>
      <c r="G197" s="21">
        <v>174</v>
      </c>
    </row>
    <row r="198" spans="3:7" x14ac:dyDescent="0.3">
      <c r="C198" s="19" t="s">
        <v>6</v>
      </c>
      <c r="D198" s="19" t="s">
        <v>35</v>
      </c>
      <c r="E198" s="19" t="s">
        <v>27</v>
      </c>
      <c r="F198" s="20">
        <v>3864</v>
      </c>
      <c r="G198" s="21">
        <v>177</v>
      </c>
    </row>
    <row r="199" spans="3:7" x14ac:dyDescent="0.3">
      <c r="C199" s="19" t="s">
        <v>7</v>
      </c>
      <c r="D199" s="19" t="s">
        <v>36</v>
      </c>
      <c r="E199" s="19" t="s">
        <v>18</v>
      </c>
      <c r="F199" s="20">
        <v>2646</v>
      </c>
      <c r="G199" s="21">
        <v>177</v>
      </c>
    </row>
    <row r="200" spans="3:7" x14ac:dyDescent="0.3">
      <c r="C200" s="19" t="s">
        <v>41</v>
      </c>
      <c r="D200" s="19" t="s">
        <v>37</v>
      </c>
      <c r="E200" s="19" t="s">
        <v>26</v>
      </c>
      <c r="F200" s="20">
        <v>2324</v>
      </c>
      <c r="G200" s="21">
        <v>177</v>
      </c>
    </row>
    <row r="201" spans="3:7" x14ac:dyDescent="0.3">
      <c r="C201" s="19" t="s">
        <v>8</v>
      </c>
      <c r="D201" s="19" t="s">
        <v>39</v>
      </c>
      <c r="E201" s="19" t="s">
        <v>30</v>
      </c>
      <c r="F201" s="20">
        <v>7021</v>
      </c>
      <c r="G201" s="21">
        <v>183</v>
      </c>
    </row>
    <row r="202" spans="3:7" x14ac:dyDescent="0.3">
      <c r="C202" s="19" t="s">
        <v>2</v>
      </c>
      <c r="D202" s="19" t="s">
        <v>38</v>
      </c>
      <c r="E202" s="19" t="s">
        <v>28</v>
      </c>
      <c r="F202" s="20">
        <v>6580</v>
      </c>
      <c r="G202" s="21">
        <v>183</v>
      </c>
    </row>
    <row r="203" spans="3:7" x14ac:dyDescent="0.3">
      <c r="C203" s="19" t="s">
        <v>41</v>
      </c>
      <c r="D203" s="19" t="s">
        <v>35</v>
      </c>
      <c r="E203" s="19" t="s">
        <v>15</v>
      </c>
      <c r="F203" s="20">
        <v>2114</v>
      </c>
      <c r="G203" s="21">
        <v>186</v>
      </c>
    </row>
    <row r="204" spans="3:7" x14ac:dyDescent="0.3">
      <c r="C204" s="19" t="s">
        <v>7</v>
      </c>
      <c r="D204" s="19" t="s">
        <v>34</v>
      </c>
      <c r="E204" s="19" t="s">
        <v>24</v>
      </c>
      <c r="F204" s="20">
        <v>8862</v>
      </c>
      <c r="G204" s="21">
        <v>189</v>
      </c>
    </row>
    <row r="205" spans="3:7" x14ac:dyDescent="0.3">
      <c r="C205" s="19" t="s">
        <v>6</v>
      </c>
      <c r="D205" s="19" t="s">
        <v>37</v>
      </c>
      <c r="E205" s="19" t="s">
        <v>23</v>
      </c>
      <c r="F205" s="20">
        <v>4949</v>
      </c>
      <c r="G205" s="21">
        <v>189</v>
      </c>
    </row>
    <row r="206" spans="3:7" x14ac:dyDescent="0.3">
      <c r="C206" s="19" t="s">
        <v>9</v>
      </c>
      <c r="D206" s="19" t="s">
        <v>36</v>
      </c>
      <c r="E206" s="19" t="s">
        <v>32</v>
      </c>
      <c r="F206" s="20">
        <v>2954</v>
      </c>
      <c r="G206" s="21">
        <v>189</v>
      </c>
    </row>
    <row r="207" spans="3:7" x14ac:dyDescent="0.3">
      <c r="C207" s="19" t="s">
        <v>9</v>
      </c>
      <c r="D207" s="19" t="s">
        <v>34</v>
      </c>
      <c r="E207" s="19" t="s">
        <v>16</v>
      </c>
      <c r="F207" s="20">
        <v>938</v>
      </c>
      <c r="G207" s="21">
        <v>189</v>
      </c>
    </row>
    <row r="208" spans="3:7" x14ac:dyDescent="0.3">
      <c r="C208" s="19" t="s">
        <v>41</v>
      </c>
      <c r="D208" s="19" t="s">
        <v>36</v>
      </c>
      <c r="E208" s="19" t="s">
        <v>19</v>
      </c>
      <c r="F208" s="20">
        <v>1925</v>
      </c>
      <c r="G208" s="21">
        <v>192</v>
      </c>
    </row>
    <row r="209" spans="3:7" x14ac:dyDescent="0.3">
      <c r="C209" s="19" t="s">
        <v>10</v>
      </c>
      <c r="D209" s="19" t="s">
        <v>35</v>
      </c>
      <c r="E209" s="19" t="s">
        <v>20</v>
      </c>
      <c r="F209" s="20">
        <v>1974</v>
      </c>
      <c r="G209" s="21">
        <v>195</v>
      </c>
    </row>
    <row r="210" spans="3:7" x14ac:dyDescent="0.3">
      <c r="C210" s="19" t="s">
        <v>8</v>
      </c>
      <c r="D210" s="19" t="s">
        <v>37</v>
      </c>
      <c r="E210" s="19" t="s">
        <v>22</v>
      </c>
      <c r="F210" s="20">
        <v>1890</v>
      </c>
      <c r="G210" s="21">
        <v>195</v>
      </c>
    </row>
    <row r="211" spans="3:7" x14ac:dyDescent="0.3">
      <c r="C211" s="19" t="s">
        <v>5</v>
      </c>
      <c r="D211" s="19" t="s">
        <v>34</v>
      </c>
      <c r="E211" s="19" t="s">
        <v>19</v>
      </c>
      <c r="F211" s="20">
        <v>861</v>
      </c>
      <c r="G211" s="21">
        <v>195</v>
      </c>
    </row>
    <row r="212" spans="3:7" x14ac:dyDescent="0.3">
      <c r="C212" s="19" t="s">
        <v>7</v>
      </c>
      <c r="D212" s="19" t="s">
        <v>39</v>
      </c>
      <c r="E212" s="19" t="s">
        <v>27</v>
      </c>
      <c r="F212" s="20">
        <v>966</v>
      </c>
      <c r="G212" s="21">
        <v>198</v>
      </c>
    </row>
    <row r="213" spans="3:7" x14ac:dyDescent="0.3">
      <c r="C213" s="19" t="s">
        <v>5</v>
      </c>
      <c r="D213" s="19" t="s">
        <v>35</v>
      </c>
      <c r="E213" s="19" t="s">
        <v>15</v>
      </c>
      <c r="F213" s="20">
        <v>13391</v>
      </c>
      <c r="G213" s="21">
        <v>201</v>
      </c>
    </row>
    <row r="214" spans="3:7" x14ac:dyDescent="0.3">
      <c r="C214" s="19" t="s">
        <v>2</v>
      </c>
      <c r="D214" s="19" t="s">
        <v>37</v>
      </c>
      <c r="E214" s="19" t="s">
        <v>17</v>
      </c>
      <c r="F214" s="20">
        <v>9926</v>
      </c>
      <c r="G214" s="21">
        <v>201</v>
      </c>
    </row>
    <row r="215" spans="3:7" x14ac:dyDescent="0.3">
      <c r="C215" s="19" t="s">
        <v>5</v>
      </c>
      <c r="D215" s="19" t="s">
        <v>34</v>
      </c>
      <c r="E215" s="19" t="s">
        <v>15</v>
      </c>
      <c r="F215" s="20">
        <v>7280</v>
      </c>
      <c r="G215" s="21">
        <v>201</v>
      </c>
    </row>
    <row r="216" spans="3:7" x14ac:dyDescent="0.3">
      <c r="C216" s="19" t="s">
        <v>40</v>
      </c>
      <c r="D216" s="19" t="s">
        <v>36</v>
      </c>
      <c r="E216" s="19" t="s">
        <v>13</v>
      </c>
      <c r="F216" s="20">
        <v>4424</v>
      </c>
      <c r="G216" s="21">
        <v>201</v>
      </c>
    </row>
    <row r="217" spans="3:7" x14ac:dyDescent="0.3">
      <c r="C217" s="19" t="s">
        <v>9</v>
      </c>
      <c r="D217" s="19" t="s">
        <v>36</v>
      </c>
      <c r="E217" s="19" t="s">
        <v>27</v>
      </c>
      <c r="F217" s="20">
        <v>11522</v>
      </c>
      <c r="G217" s="21">
        <v>204</v>
      </c>
    </row>
    <row r="218" spans="3:7" x14ac:dyDescent="0.3">
      <c r="C218" s="19" t="s">
        <v>10</v>
      </c>
      <c r="D218" s="19" t="s">
        <v>34</v>
      </c>
      <c r="E218" s="19" t="s">
        <v>19</v>
      </c>
      <c r="F218" s="20">
        <v>5355</v>
      </c>
      <c r="G218" s="21">
        <v>204</v>
      </c>
    </row>
    <row r="219" spans="3:7" x14ac:dyDescent="0.3">
      <c r="C219" s="19" t="s">
        <v>9</v>
      </c>
      <c r="D219" s="19" t="s">
        <v>39</v>
      </c>
      <c r="E219" s="19" t="s">
        <v>18</v>
      </c>
      <c r="F219" s="20">
        <v>2639</v>
      </c>
      <c r="G219" s="21">
        <v>204</v>
      </c>
    </row>
    <row r="220" spans="3:7" x14ac:dyDescent="0.3">
      <c r="C220" s="19" t="s">
        <v>8</v>
      </c>
      <c r="D220" s="19" t="s">
        <v>37</v>
      </c>
      <c r="E220" s="19" t="s">
        <v>19</v>
      </c>
      <c r="F220" s="20">
        <v>1771</v>
      </c>
      <c r="G220" s="21">
        <v>204</v>
      </c>
    </row>
    <row r="221" spans="3:7" x14ac:dyDescent="0.3">
      <c r="C221" s="19" t="s">
        <v>41</v>
      </c>
      <c r="D221" s="19" t="s">
        <v>36</v>
      </c>
      <c r="E221" s="19" t="s">
        <v>26</v>
      </c>
      <c r="F221" s="20">
        <v>98</v>
      </c>
      <c r="G221" s="21">
        <v>204</v>
      </c>
    </row>
    <row r="222" spans="3:7" x14ac:dyDescent="0.3">
      <c r="C222" s="19" t="s">
        <v>7</v>
      </c>
      <c r="D222" s="19" t="s">
        <v>37</v>
      </c>
      <c r="E222" s="19" t="s">
        <v>22</v>
      </c>
      <c r="F222" s="20">
        <v>9835</v>
      </c>
      <c r="G222" s="21">
        <v>207</v>
      </c>
    </row>
    <row r="223" spans="3:7" x14ac:dyDescent="0.3">
      <c r="C223" s="19" t="s">
        <v>6</v>
      </c>
      <c r="D223" s="19" t="s">
        <v>34</v>
      </c>
      <c r="E223" s="19" t="s">
        <v>27</v>
      </c>
      <c r="F223" s="20">
        <v>4242</v>
      </c>
      <c r="G223" s="21">
        <v>207</v>
      </c>
    </row>
    <row r="224" spans="3:7" x14ac:dyDescent="0.3">
      <c r="C224" s="19" t="s">
        <v>9</v>
      </c>
      <c r="D224" s="19" t="s">
        <v>37</v>
      </c>
      <c r="E224" s="19" t="s">
        <v>4</v>
      </c>
      <c r="F224" s="20">
        <v>259</v>
      </c>
      <c r="G224" s="21">
        <v>207</v>
      </c>
    </row>
    <row r="225" spans="3:7" x14ac:dyDescent="0.3">
      <c r="C225" s="19" t="s">
        <v>8</v>
      </c>
      <c r="D225" s="19" t="s">
        <v>39</v>
      </c>
      <c r="E225" s="19" t="s">
        <v>31</v>
      </c>
      <c r="F225" s="20">
        <v>8890</v>
      </c>
      <c r="G225" s="21">
        <v>210</v>
      </c>
    </row>
    <row r="226" spans="3:7" x14ac:dyDescent="0.3">
      <c r="C226" s="19" t="s">
        <v>8</v>
      </c>
      <c r="D226" s="19" t="s">
        <v>35</v>
      </c>
      <c r="E226" s="19" t="s">
        <v>22</v>
      </c>
      <c r="F226" s="20">
        <v>5012</v>
      </c>
      <c r="G226" s="21">
        <v>210</v>
      </c>
    </row>
    <row r="227" spans="3:7" x14ac:dyDescent="0.3">
      <c r="C227" s="19" t="s">
        <v>2</v>
      </c>
      <c r="D227" s="19" t="s">
        <v>39</v>
      </c>
      <c r="E227" s="19" t="s">
        <v>21</v>
      </c>
      <c r="F227" s="20">
        <v>7651</v>
      </c>
      <c r="G227" s="21">
        <v>213</v>
      </c>
    </row>
    <row r="228" spans="3:7" x14ac:dyDescent="0.3">
      <c r="C228" s="19" t="s">
        <v>8</v>
      </c>
      <c r="D228" s="19" t="s">
        <v>38</v>
      </c>
      <c r="E228" s="19" t="s">
        <v>32</v>
      </c>
      <c r="F228" s="20">
        <v>3752</v>
      </c>
      <c r="G228" s="21">
        <v>213</v>
      </c>
    </row>
    <row r="229" spans="3:7" x14ac:dyDescent="0.3">
      <c r="C229" s="19" t="s">
        <v>41</v>
      </c>
      <c r="D229" s="19" t="s">
        <v>35</v>
      </c>
      <c r="E229" s="19" t="s">
        <v>28</v>
      </c>
      <c r="F229" s="20">
        <v>7455</v>
      </c>
      <c r="G229" s="21">
        <v>216</v>
      </c>
    </row>
    <row r="230" spans="3:7" x14ac:dyDescent="0.3">
      <c r="C230" s="19" t="s">
        <v>8</v>
      </c>
      <c r="D230" s="19" t="s">
        <v>34</v>
      </c>
      <c r="E230" s="19" t="s">
        <v>16</v>
      </c>
      <c r="F230" s="20">
        <v>2009</v>
      </c>
      <c r="G230" s="21">
        <v>219</v>
      </c>
    </row>
    <row r="231" spans="3:7" x14ac:dyDescent="0.3">
      <c r="C231" s="19" t="s">
        <v>7</v>
      </c>
      <c r="D231" s="19" t="s">
        <v>37</v>
      </c>
      <c r="E231" s="19" t="s">
        <v>14</v>
      </c>
      <c r="F231" s="20">
        <v>6608</v>
      </c>
      <c r="G231" s="21">
        <v>225</v>
      </c>
    </row>
    <row r="232" spans="3:7" x14ac:dyDescent="0.3">
      <c r="C232" s="19" t="s">
        <v>40</v>
      </c>
      <c r="D232" s="19" t="s">
        <v>39</v>
      </c>
      <c r="E232" s="19" t="s">
        <v>28</v>
      </c>
      <c r="F232" s="20">
        <v>3101</v>
      </c>
      <c r="G232" s="21">
        <v>225</v>
      </c>
    </row>
    <row r="233" spans="3:7" x14ac:dyDescent="0.3">
      <c r="C233" s="19" t="s">
        <v>41</v>
      </c>
      <c r="D233" s="19" t="s">
        <v>34</v>
      </c>
      <c r="E233" s="19" t="s">
        <v>16</v>
      </c>
      <c r="F233" s="20">
        <v>1274</v>
      </c>
      <c r="G233" s="21">
        <v>225</v>
      </c>
    </row>
    <row r="234" spans="3:7" x14ac:dyDescent="0.3">
      <c r="C234" s="19" t="s">
        <v>10</v>
      </c>
      <c r="D234" s="19" t="s">
        <v>35</v>
      </c>
      <c r="E234" s="19" t="s">
        <v>21</v>
      </c>
      <c r="F234" s="20">
        <v>567</v>
      </c>
      <c r="G234" s="21">
        <v>228</v>
      </c>
    </row>
    <row r="235" spans="3:7" x14ac:dyDescent="0.3">
      <c r="C235" s="19" t="s">
        <v>41</v>
      </c>
      <c r="D235" s="19" t="s">
        <v>36</v>
      </c>
      <c r="E235" s="19" t="s">
        <v>13</v>
      </c>
      <c r="F235" s="20">
        <v>10311</v>
      </c>
      <c r="G235" s="21">
        <v>231</v>
      </c>
    </row>
    <row r="236" spans="3:7" x14ac:dyDescent="0.3">
      <c r="C236" s="19" t="s">
        <v>41</v>
      </c>
      <c r="D236" s="19" t="s">
        <v>37</v>
      </c>
      <c r="E236" s="19" t="s">
        <v>15</v>
      </c>
      <c r="F236" s="20">
        <v>714</v>
      </c>
      <c r="G236" s="21">
        <v>231</v>
      </c>
    </row>
    <row r="237" spans="3:7" x14ac:dyDescent="0.3">
      <c r="C237" s="19" t="s">
        <v>40</v>
      </c>
      <c r="D237" s="19" t="s">
        <v>35</v>
      </c>
      <c r="E237" s="19" t="s">
        <v>32</v>
      </c>
      <c r="F237" s="20">
        <v>12348</v>
      </c>
      <c r="G237" s="21">
        <v>234</v>
      </c>
    </row>
    <row r="238" spans="3:7" x14ac:dyDescent="0.3">
      <c r="C238" s="19" t="s">
        <v>3</v>
      </c>
      <c r="D238" s="19" t="s">
        <v>35</v>
      </c>
      <c r="E238" s="19" t="s">
        <v>25</v>
      </c>
      <c r="F238" s="20">
        <v>2464</v>
      </c>
      <c r="G238" s="21">
        <v>234</v>
      </c>
    </row>
    <row r="239" spans="3:7" x14ac:dyDescent="0.3">
      <c r="C239" s="19" t="s">
        <v>8</v>
      </c>
      <c r="D239" s="19" t="s">
        <v>38</v>
      </c>
      <c r="E239" s="19" t="s">
        <v>23</v>
      </c>
      <c r="F239" s="20">
        <v>1701</v>
      </c>
      <c r="G239" s="21">
        <v>234</v>
      </c>
    </row>
    <row r="240" spans="3:7" x14ac:dyDescent="0.3">
      <c r="C240" s="19" t="s">
        <v>5</v>
      </c>
      <c r="D240" s="19" t="s">
        <v>34</v>
      </c>
      <c r="E240" s="19" t="s">
        <v>22</v>
      </c>
      <c r="F240" s="20">
        <v>6279</v>
      </c>
      <c r="G240" s="21">
        <v>237</v>
      </c>
    </row>
    <row r="241" spans="3:7" x14ac:dyDescent="0.3">
      <c r="C241" s="19" t="s">
        <v>7</v>
      </c>
      <c r="D241" s="19" t="s">
        <v>35</v>
      </c>
      <c r="E241" s="19" t="s">
        <v>19</v>
      </c>
      <c r="F241" s="20">
        <v>4585</v>
      </c>
      <c r="G241" s="21">
        <v>240</v>
      </c>
    </row>
    <row r="242" spans="3:7" x14ac:dyDescent="0.3">
      <c r="C242" s="19" t="s">
        <v>41</v>
      </c>
      <c r="D242" s="19" t="s">
        <v>37</v>
      </c>
      <c r="E242" s="19" t="s">
        <v>30</v>
      </c>
      <c r="F242" s="20">
        <v>1526</v>
      </c>
      <c r="G242" s="21">
        <v>240</v>
      </c>
    </row>
    <row r="243" spans="3:7" x14ac:dyDescent="0.3">
      <c r="C243" s="19" t="s">
        <v>9</v>
      </c>
      <c r="D243" s="19" t="s">
        <v>35</v>
      </c>
      <c r="E243" s="19" t="s">
        <v>15</v>
      </c>
      <c r="F243" s="20">
        <v>7833</v>
      </c>
      <c r="G243" s="21">
        <v>243</v>
      </c>
    </row>
    <row r="244" spans="3:7" x14ac:dyDescent="0.3">
      <c r="C244" s="19" t="s">
        <v>5</v>
      </c>
      <c r="D244" s="19" t="s">
        <v>35</v>
      </c>
      <c r="E244" s="19" t="s">
        <v>31</v>
      </c>
      <c r="F244" s="20">
        <v>4753</v>
      </c>
      <c r="G244" s="21">
        <v>246</v>
      </c>
    </row>
    <row r="245" spans="3:7" x14ac:dyDescent="0.3">
      <c r="C245" s="19" t="s">
        <v>7</v>
      </c>
      <c r="D245" s="19" t="s">
        <v>39</v>
      </c>
      <c r="E245" s="19" t="s">
        <v>17</v>
      </c>
      <c r="F245" s="20">
        <v>4438</v>
      </c>
      <c r="G245" s="21">
        <v>246</v>
      </c>
    </row>
    <row r="246" spans="3:7" x14ac:dyDescent="0.3">
      <c r="C246" s="19" t="s">
        <v>2</v>
      </c>
      <c r="D246" s="19" t="s">
        <v>36</v>
      </c>
      <c r="E246" s="19" t="s">
        <v>31</v>
      </c>
      <c r="F246" s="20">
        <v>3094</v>
      </c>
      <c r="G246" s="21">
        <v>246</v>
      </c>
    </row>
    <row r="247" spans="3:7" x14ac:dyDescent="0.3">
      <c r="C247" s="19" t="s">
        <v>9</v>
      </c>
      <c r="D247" s="19" t="s">
        <v>37</v>
      </c>
      <c r="E247" s="19" t="s">
        <v>26</v>
      </c>
      <c r="F247" s="20">
        <v>2856</v>
      </c>
      <c r="G247" s="21">
        <v>246</v>
      </c>
    </row>
    <row r="248" spans="3:7" x14ac:dyDescent="0.3">
      <c r="C248" s="19" t="s">
        <v>5</v>
      </c>
      <c r="D248" s="19" t="s">
        <v>39</v>
      </c>
      <c r="E248" s="19" t="s">
        <v>18</v>
      </c>
      <c r="F248" s="20">
        <v>385</v>
      </c>
      <c r="G248" s="21">
        <v>249</v>
      </c>
    </row>
    <row r="249" spans="3:7" x14ac:dyDescent="0.3">
      <c r="C249" s="19" t="s">
        <v>7</v>
      </c>
      <c r="D249" s="19" t="s">
        <v>35</v>
      </c>
      <c r="E249" s="19" t="s">
        <v>30</v>
      </c>
      <c r="F249" s="20">
        <v>6755</v>
      </c>
      <c r="G249" s="21">
        <v>252</v>
      </c>
    </row>
    <row r="250" spans="3:7" x14ac:dyDescent="0.3">
      <c r="C250" s="19" t="s">
        <v>7</v>
      </c>
      <c r="D250" s="19" t="s">
        <v>36</v>
      </c>
      <c r="E250" s="19" t="s">
        <v>29</v>
      </c>
      <c r="F250" s="20">
        <v>5551</v>
      </c>
      <c r="G250" s="21">
        <v>252</v>
      </c>
    </row>
    <row r="251" spans="3:7" x14ac:dyDescent="0.3">
      <c r="C251" s="19" t="s">
        <v>3</v>
      </c>
      <c r="D251" s="19" t="s">
        <v>35</v>
      </c>
      <c r="E251" s="19" t="s">
        <v>14</v>
      </c>
      <c r="F251" s="20">
        <v>2415</v>
      </c>
      <c r="G251" s="21">
        <v>255</v>
      </c>
    </row>
    <row r="252" spans="3:7" x14ac:dyDescent="0.3">
      <c r="C252" s="19" t="s">
        <v>7</v>
      </c>
      <c r="D252" s="19" t="s">
        <v>38</v>
      </c>
      <c r="E252" s="19" t="s">
        <v>28</v>
      </c>
      <c r="F252" s="20">
        <v>5677</v>
      </c>
      <c r="G252" s="21">
        <v>258</v>
      </c>
    </row>
    <row r="253" spans="3:7" x14ac:dyDescent="0.3">
      <c r="C253" s="19" t="s">
        <v>10</v>
      </c>
      <c r="D253" s="19" t="s">
        <v>36</v>
      </c>
      <c r="E253" s="19" t="s">
        <v>23</v>
      </c>
      <c r="F253" s="20">
        <v>2317</v>
      </c>
      <c r="G253" s="21">
        <v>261</v>
      </c>
    </row>
    <row r="254" spans="3:7" x14ac:dyDescent="0.3">
      <c r="C254" s="19" t="s">
        <v>7</v>
      </c>
      <c r="D254" s="19" t="s">
        <v>38</v>
      </c>
      <c r="E254" s="19" t="s">
        <v>18</v>
      </c>
      <c r="F254" s="20">
        <v>1778</v>
      </c>
      <c r="G254" s="21">
        <v>270</v>
      </c>
    </row>
    <row r="255" spans="3:7" x14ac:dyDescent="0.3">
      <c r="C255" s="19" t="s">
        <v>6</v>
      </c>
      <c r="D255" s="19" t="s">
        <v>35</v>
      </c>
      <c r="E255" s="19" t="s">
        <v>20</v>
      </c>
      <c r="F255" s="20">
        <v>1071</v>
      </c>
      <c r="G255" s="21">
        <v>270</v>
      </c>
    </row>
    <row r="256" spans="3:7" x14ac:dyDescent="0.3">
      <c r="C256" s="19" t="s">
        <v>9</v>
      </c>
      <c r="D256" s="19" t="s">
        <v>37</v>
      </c>
      <c r="E256" s="19" t="s">
        <v>29</v>
      </c>
      <c r="F256" s="20">
        <v>1085</v>
      </c>
      <c r="G256" s="21">
        <v>273</v>
      </c>
    </row>
    <row r="257" spans="3:7" x14ac:dyDescent="0.3">
      <c r="C257" s="19" t="s">
        <v>3</v>
      </c>
      <c r="D257" s="19" t="s">
        <v>34</v>
      </c>
      <c r="E257" s="19" t="s">
        <v>14</v>
      </c>
      <c r="F257" s="20">
        <v>7259</v>
      </c>
      <c r="G257" s="21">
        <v>276</v>
      </c>
    </row>
    <row r="258" spans="3:7" x14ac:dyDescent="0.3">
      <c r="C258" s="19" t="s">
        <v>3</v>
      </c>
      <c r="D258" s="19" t="s">
        <v>35</v>
      </c>
      <c r="E258" s="19" t="s">
        <v>15</v>
      </c>
      <c r="F258" s="20">
        <v>6657</v>
      </c>
      <c r="G258" s="21">
        <v>276</v>
      </c>
    </row>
    <row r="259" spans="3:7" x14ac:dyDescent="0.3">
      <c r="C259" s="19" t="s">
        <v>10</v>
      </c>
      <c r="D259" s="19" t="s">
        <v>39</v>
      </c>
      <c r="E259" s="19" t="s">
        <v>21</v>
      </c>
      <c r="F259" s="20">
        <v>4858</v>
      </c>
      <c r="G259" s="21">
        <v>279</v>
      </c>
    </row>
    <row r="260" spans="3:7" x14ac:dyDescent="0.3">
      <c r="C260" s="19" t="s">
        <v>10</v>
      </c>
      <c r="D260" s="19" t="s">
        <v>35</v>
      </c>
      <c r="E260" s="19" t="s">
        <v>18</v>
      </c>
      <c r="F260" s="20">
        <v>3808</v>
      </c>
      <c r="G260" s="21">
        <v>279</v>
      </c>
    </row>
    <row r="261" spans="3:7" x14ac:dyDescent="0.3">
      <c r="C261" s="19" t="s">
        <v>6</v>
      </c>
      <c r="D261" s="19" t="s">
        <v>38</v>
      </c>
      <c r="E261" s="19" t="s">
        <v>27</v>
      </c>
      <c r="F261" s="20">
        <v>1134</v>
      </c>
      <c r="G261" s="21">
        <v>282</v>
      </c>
    </row>
    <row r="262" spans="3:7" x14ac:dyDescent="0.3">
      <c r="C262" s="19" t="s">
        <v>41</v>
      </c>
      <c r="D262" s="19" t="s">
        <v>36</v>
      </c>
      <c r="E262" s="19" t="s">
        <v>18</v>
      </c>
      <c r="F262" s="20">
        <v>9632</v>
      </c>
      <c r="G262" s="21">
        <v>288</v>
      </c>
    </row>
    <row r="263" spans="3:7" x14ac:dyDescent="0.3">
      <c r="C263" s="19" t="s">
        <v>7</v>
      </c>
      <c r="D263" s="19" t="s">
        <v>35</v>
      </c>
      <c r="E263" s="19" t="s">
        <v>28</v>
      </c>
      <c r="F263" s="20">
        <v>5194</v>
      </c>
      <c r="G263" s="21">
        <v>288</v>
      </c>
    </row>
    <row r="264" spans="3:7" x14ac:dyDescent="0.3">
      <c r="C264" s="19" t="s">
        <v>8</v>
      </c>
      <c r="D264" s="19" t="s">
        <v>34</v>
      </c>
      <c r="E264" s="19" t="s">
        <v>31</v>
      </c>
      <c r="F264" s="20">
        <v>3507</v>
      </c>
      <c r="G264" s="21">
        <v>288</v>
      </c>
    </row>
    <row r="265" spans="3:7" x14ac:dyDescent="0.3">
      <c r="C265" s="19" t="s">
        <v>10</v>
      </c>
      <c r="D265" s="19" t="s">
        <v>37</v>
      </c>
      <c r="E265" s="19" t="s">
        <v>21</v>
      </c>
      <c r="F265" s="20">
        <v>245</v>
      </c>
      <c r="G265" s="21">
        <v>288</v>
      </c>
    </row>
    <row r="266" spans="3:7" x14ac:dyDescent="0.3">
      <c r="C266" s="19" t="s">
        <v>40</v>
      </c>
      <c r="D266" s="19" t="s">
        <v>38</v>
      </c>
      <c r="E266" s="19" t="s">
        <v>13</v>
      </c>
      <c r="F266" s="20">
        <v>5670</v>
      </c>
      <c r="G266" s="21">
        <v>297</v>
      </c>
    </row>
    <row r="267" spans="3:7" x14ac:dyDescent="0.3">
      <c r="C267" s="19" t="s">
        <v>8</v>
      </c>
      <c r="D267" s="19" t="s">
        <v>35</v>
      </c>
      <c r="E267" s="19" t="s">
        <v>27</v>
      </c>
      <c r="F267" s="20">
        <v>4753</v>
      </c>
      <c r="G267" s="21">
        <v>300</v>
      </c>
    </row>
    <row r="268" spans="3:7" x14ac:dyDescent="0.3">
      <c r="C268" s="19" t="s">
        <v>7</v>
      </c>
      <c r="D268" s="19" t="s">
        <v>36</v>
      </c>
      <c r="E268" s="19" t="s">
        <v>19</v>
      </c>
      <c r="F268" s="20">
        <v>2870</v>
      </c>
      <c r="G268" s="21">
        <v>300</v>
      </c>
    </row>
    <row r="269" spans="3:7" x14ac:dyDescent="0.3">
      <c r="C269" s="19" t="s">
        <v>3</v>
      </c>
      <c r="D269" s="19" t="s">
        <v>38</v>
      </c>
      <c r="E269" s="19" t="s">
        <v>26</v>
      </c>
      <c r="F269" s="20">
        <v>8841</v>
      </c>
      <c r="G269" s="21">
        <v>303</v>
      </c>
    </row>
    <row r="270" spans="3:7" x14ac:dyDescent="0.3">
      <c r="C270" s="19" t="s">
        <v>10</v>
      </c>
      <c r="D270" s="19" t="s">
        <v>36</v>
      </c>
      <c r="E270" s="19" t="s">
        <v>32</v>
      </c>
      <c r="F270" s="20">
        <v>6657</v>
      </c>
      <c r="G270" s="21">
        <v>303</v>
      </c>
    </row>
    <row r="271" spans="3:7" x14ac:dyDescent="0.3">
      <c r="C271" s="19" t="s">
        <v>2</v>
      </c>
      <c r="D271" s="19" t="s">
        <v>35</v>
      </c>
      <c r="E271" s="19" t="s">
        <v>17</v>
      </c>
      <c r="F271" s="20">
        <v>1589</v>
      </c>
      <c r="G271" s="21">
        <v>303</v>
      </c>
    </row>
    <row r="272" spans="3:7" x14ac:dyDescent="0.3">
      <c r="C272" s="19" t="s">
        <v>9</v>
      </c>
      <c r="D272" s="19" t="s">
        <v>39</v>
      </c>
      <c r="E272" s="19" t="s">
        <v>24</v>
      </c>
      <c r="F272" s="20">
        <v>3920</v>
      </c>
      <c r="G272" s="21">
        <v>306</v>
      </c>
    </row>
    <row r="273" spans="3:7" x14ac:dyDescent="0.3">
      <c r="C273" s="19" t="s">
        <v>40</v>
      </c>
      <c r="D273" s="19" t="s">
        <v>36</v>
      </c>
      <c r="E273" s="19" t="s">
        <v>27</v>
      </c>
      <c r="F273" s="20">
        <v>3164</v>
      </c>
      <c r="G273" s="21">
        <v>306</v>
      </c>
    </row>
    <row r="274" spans="3:7" x14ac:dyDescent="0.3">
      <c r="C274" s="19" t="s">
        <v>3</v>
      </c>
      <c r="D274" s="19" t="s">
        <v>35</v>
      </c>
      <c r="E274" s="19" t="s">
        <v>33</v>
      </c>
      <c r="F274" s="20">
        <v>819</v>
      </c>
      <c r="G274" s="21">
        <v>306</v>
      </c>
    </row>
    <row r="275" spans="3:7" x14ac:dyDescent="0.3">
      <c r="C275" s="19" t="s">
        <v>41</v>
      </c>
      <c r="D275" s="19" t="s">
        <v>36</v>
      </c>
      <c r="E275" s="19" t="s">
        <v>28</v>
      </c>
      <c r="F275" s="20">
        <v>854</v>
      </c>
      <c r="G275" s="21">
        <v>309</v>
      </c>
    </row>
    <row r="276" spans="3:7" x14ac:dyDescent="0.3">
      <c r="C276" s="19" t="s">
        <v>7</v>
      </c>
      <c r="D276" s="19" t="s">
        <v>38</v>
      </c>
      <c r="E276" s="19" t="s">
        <v>30</v>
      </c>
      <c r="F276" s="20">
        <v>10129</v>
      </c>
      <c r="G276" s="21">
        <v>312</v>
      </c>
    </row>
    <row r="277" spans="3:7" x14ac:dyDescent="0.3">
      <c r="C277" s="19" t="s">
        <v>3</v>
      </c>
      <c r="D277" s="19" t="s">
        <v>34</v>
      </c>
      <c r="E277" s="19" t="s">
        <v>28</v>
      </c>
      <c r="F277" s="20">
        <v>3689</v>
      </c>
      <c r="G277" s="21">
        <v>312</v>
      </c>
    </row>
    <row r="278" spans="3:7" x14ac:dyDescent="0.3">
      <c r="C278" s="19" t="s">
        <v>3</v>
      </c>
      <c r="D278" s="19" t="s">
        <v>37</v>
      </c>
      <c r="E278" s="19" t="s">
        <v>29</v>
      </c>
      <c r="F278" s="20">
        <v>4592</v>
      </c>
      <c r="G278" s="21">
        <v>324</v>
      </c>
    </row>
    <row r="279" spans="3:7" x14ac:dyDescent="0.3">
      <c r="C279" s="19" t="s">
        <v>3</v>
      </c>
      <c r="D279" s="19" t="s">
        <v>37</v>
      </c>
      <c r="E279" s="19" t="s">
        <v>28</v>
      </c>
      <c r="F279" s="20">
        <v>7308</v>
      </c>
      <c r="G279" s="21">
        <v>327</v>
      </c>
    </row>
    <row r="280" spans="3:7" x14ac:dyDescent="0.3">
      <c r="C280" s="19" t="s">
        <v>7</v>
      </c>
      <c r="D280" s="19" t="s">
        <v>37</v>
      </c>
      <c r="E280" s="19" t="s">
        <v>16</v>
      </c>
      <c r="F280" s="20">
        <v>4487</v>
      </c>
      <c r="G280" s="21">
        <v>333</v>
      </c>
    </row>
    <row r="281" spans="3:7" x14ac:dyDescent="0.3">
      <c r="C281" s="19" t="s">
        <v>5</v>
      </c>
      <c r="D281" s="19" t="s">
        <v>34</v>
      </c>
      <c r="E281" s="19" t="s">
        <v>20</v>
      </c>
      <c r="F281" s="20">
        <v>15610</v>
      </c>
      <c r="G281" s="21">
        <v>339</v>
      </c>
    </row>
    <row r="282" spans="3:7" x14ac:dyDescent="0.3">
      <c r="C282" s="19" t="s">
        <v>10</v>
      </c>
      <c r="D282" s="19" t="s">
        <v>36</v>
      </c>
      <c r="E282" s="19" t="s">
        <v>29</v>
      </c>
      <c r="F282" s="20">
        <v>2471</v>
      </c>
      <c r="G282" s="21">
        <v>342</v>
      </c>
    </row>
    <row r="283" spans="3:7" x14ac:dyDescent="0.3">
      <c r="C283" s="19" t="s">
        <v>2</v>
      </c>
      <c r="D283" s="19" t="s">
        <v>38</v>
      </c>
      <c r="E283" s="19" t="s">
        <v>31</v>
      </c>
      <c r="F283" s="20">
        <v>4326</v>
      </c>
      <c r="G283" s="21">
        <v>348</v>
      </c>
    </row>
    <row r="284" spans="3:7" x14ac:dyDescent="0.3">
      <c r="C284" s="19" t="s">
        <v>5</v>
      </c>
      <c r="D284" s="19" t="s">
        <v>36</v>
      </c>
      <c r="E284" s="19" t="s">
        <v>17</v>
      </c>
      <c r="F284" s="20">
        <v>3339</v>
      </c>
      <c r="G284" s="21">
        <v>348</v>
      </c>
    </row>
    <row r="285" spans="3:7" x14ac:dyDescent="0.3">
      <c r="C285" s="19" t="s">
        <v>5</v>
      </c>
      <c r="D285" s="19" t="s">
        <v>35</v>
      </c>
      <c r="E285" s="19" t="s">
        <v>29</v>
      </c>
      <c r="F285" s="20">
        <v>4480</v>
      </c>
      <c r="G285" s="21">
        <v>357</v>
      </c>
    </row>
    <row r="286" spans="3:7" x14ac:dyDescent="0.3">
      <c r="C286" s="19" t="s">
        <v>8</v>
      </c>
      <c r="D286" s="19" t="s">
        <v>35</v>
      </c>
      <c r="E286" s="19" t="s">
        <v>20</v>
      </c>
      <c r="F286" s="20">
        <v>2702</v>
      </c>
      <c r="G286" s="21">
        <v>363</v>
      </c>
    </row>
    <row r="287" spans="3:7" x14ac:dyDescent="0.3">
      <c r="C287" s="19" t="s">
        <v>6</v>
      </c>
      <c r="D287" s="19" t="s">
        <v>34</v>
      </c>
      <c r="E287" s="19" t="s">
        <v>30</v>
      </c>
      <c r="F287" s="20">
        <v>3402</v>
      </c>
      <c r="G287" s="21">
        <v>366</v>
      </c>
    </row>
    <row r="288" spans="3:7" x14ac:dyDescent="0.3">
      <c r="C288" s="19" t="s">
        <v>3</v>
      </c>
      <c r="D288" s="19" t="s">
        <v>37</v>
      </c>
      <c r="E288" s="19" t="s">
        <v>4</v>
      </c>
      <c r="F288" s="20">
        <v>938</v>
      </c>
      <c r="G288" s="21">
        <v>366</v>
      </c>
    </row>
    <row r="289" spans="3:7" x14ac:dyDescent="0.3">
      <c r="C289" s="19" t="s">
        <v>7</v>
      </c>
      <c r="D289" s="19" t="s">
        <v>34</v>
      </c>
      <c r="E289" s="19" t="s">
        <v>14</v>
      </c>
      <c r="F289" s="20">
        <v>1932</v>
      </c>
      <c r="G289" s="21">
        <v>369</v>
      </c>
    </row>
    <row r="290" spans="3:7" x14ac:dyDescent="0.3">
      <c r="C290" s="19" t="s">
        <v>40</v>
      </c>
      <c r="D290" s="19" t="s">
        <v>35</v>
      </c>
      <c r="E290" s="19" t="s">
        <v>22</v>
      </c>
      <c r="F290" s="20">
        <v>6853</v>
      </c>
      <c r="G290" s="21">
        <v>372</v>
      </c>
    </row>
    <row r="291" spans="3:7" x14ac:dyDescent="0.3">
      <c r="C291" s="19" t="s">
        <v>6</v>
      </c>
      <c r="D291" s="19" t="s">
        <v>39</v>
      </c>
      <c r="E291" s="19" t="s">
        <v>29</v>
      </c>
      <c r="F291" s="20">
        <v>3052</v>
      </c>
      <c r="G291" s="21">
        <v>378</v>
      </c>
    </row>
    <row r="292" spans="3:7" x14ac:dyDescent="0.3">
      <c r="C292" s="19" t="s">
        <v>6</v>
      </c>
      <c r="D292" s="19" t="s">
        <v>35</v>
      </c>
      <c r="E292" s="19" t="s">
        <v>4</v>
      </c>
      <c r="F292" s="20">
        <v>1302</v>
      </c>
      <c r="G292" s="21">
        <v>402</v>
      </c>
    </row>
    <row r="293" spans="3:7" x14ac:dyDescent="0.3">
      <c r="C293" s="19" t="s">
        <v>6</v>
      </c>
      <c r="D293" s="19" t="s">
        <v>37</v>
      </c>
      <c r="E293" s="19" t="s">
        <v>16</v>
      </c>
      <c r="F293" s="20">
        <v>1904</v>
      </c>
      <c r="G293" s="21">
        <v>405</v>
      </c>
    </row>
    <row r="294" spans="3:7" x14ac:dyDescent="0.3">
      <c r="C294" s="19" t="s">
        <v>6</v>
      </c>
      <c r="D294" s="19" t="s">
        <v>39</v>
      </c>
      <c r="E294" s="19" t="s">
        <v>25</v>
      </c>
      <c r="F294" s="20">
        <v>2100</v>
      </c>
      <c r="G294" s="21">
        <v>414</v>
      </c>
    </row>
    <row r="295" spans="3:7" x14ac:dyDescent="0.3">
      <c r="C295" s="19" t="s">
        <v>40</v>
      </c>
      <c r="D295" s="19" t="s">
        <v>35</v>
      </c>
      <c r="E295" s="19" t="s">
        <v>33</v>
      </c>
      <c r="F295" s="20">
        <v>8869</v>
      </c>
      <c r="G295" s="21">
        <v>432</v>
      </c>
    </row>
    <row r="296" spans="3:7" x14ac:dyDescent="0.3">
      <c r="C296" s="19" t="s">
        <v>40</v>
      </c>
      <c r="D296" s="19" t="s">
        <v>35</v>
      </c>
      <c r="E296" s="19" t="s">
        <v>30</v>
      </c>
      <c r="F296" s="20">
        <v>2275</v>
      </c>
      <c r="G296" s="21">
        <v>447</v>
      </c>
    </row>
    <row r="297" spans="3:7" x14ac:dyDescent="0.3">
      <c r="C297" s="19" t="s">
        <v>6</v>
      </c>
      <c r="D297" s="19" t="s">
        <v>34</v>
      </c>
      <c r="E297" s="19" t="s">
        <v>26</v>
      </c>
      <c r="F297" s="20">
        <v>8008</v>
      </c>
      <c r="G297" s="21">
        <v>456</v>
      </c>
    </row>
    <row r="298" spans="3:7" x14ac:dyDescent="0.3">
      <c r="C298" s="19" t="s">
        <v>8</v>
      </c>
      <c r="D298" s="19" t="s">
        <v>35</v>
      </c>
      <c r="E298" s="19" t="s">
        <v>32</v>
      </c>
      <c r="F298" s="20">
        <v>6706</v>
      </c>
      <c r="G298" s="21">
        <v>459</v>
      </c>
    </row>
    <row r="299" spans="3:7" x14ac:dyDescent="0.3">
      <c r="C299" s="19" t="s">
        <v>6</v>
      </c>
      <c r="D299" s="19" t="s">
        <v>37</v>
      </c>
      <c r="E299" s="19" t="s">
        <v>28</v>
      </c>
      <c r="F299" s="20">
        <v>3556</v>
      </c>
      <c r="G299" s="21">
        <v>459</v>
      </c>
    </row>
    <row r="300" spans="3:7" x14ac:dyDescent="0.3">
      <c r="C300" s="19" t="s">
        <v>2</v>
      </c>
      <c r="D300" s="19" t="s">
        <v>39</v>
      </c>
      <c r="E300" s="19" t="s">
        <v>25</v>
      </c>
      <c r="F300" s="20">
        <v>1785</v>
      </c>
      <c r="G300" s="21">
        <v>462</v>
      </c>
    </row>
    <row r="301" spans="3:7" x14ac:dyDescent="0.3">
      <c r="C301" s="19" t="s">
        <v>9</v>
      </c>
      <c r="D301" s="19" t="s">
        <v>34</v>
      </c>
      <c r="E301" s="19" t="s">
        <v>20</v>
      </c>
      <c r="F301" s="20">
        <v>8463</v>
      </c>
      <c r="G301" s="21">
        <v>492</v>
      </c>
    </row>
    <row r="302" spans="3:7" x14ac:dyDescent="0.3">
      <c r="C302" s="19" t="s">
        <v>3</v>
      </c>
      <c r="D302" s="19" t="s">
        <v>34</v>
      </c>
      <c r="E302" s="19" t="s">
        <v>32</v>
      </c>
      <c r="F302" s="20">
        <v>7777</v>
      </c>
      <c r="G302" s="21">
        <v>504</v>
      </c>
    </row>
    <row r="303" spans="3:7" x14ac:dyDescent="0.3">
      <c r="C303" s="19" t="s">
        <v>8</v>
      </c>
      <c r="D303" s="19" t="s">
        <v>38</v>
      </c>
      <c r="E303" s="19" t="s">
        <v>13</v>
      </c>
      <c r="F303" s="20">
        <v>819</v>
      </c>
      <c r="G303" s="21">
        <v>510</v>
      </c>
    </row>
    <row r="304" spans="3:7" x14ac:dyDescent="0.3">
      <c r="C304" s="19" t="s">
        <v>2</v>
      </c>
      <c r="D304" s="19" t="s">
        <v>36</v>
      </c>
      <c r="E304" s="19" t="s">
        <v>27</v>
      </c>
      <c r="F304" s="20">
        <v>798</v>
      </c>
      <c r="G304" s="21">
        <v>519</v>
      </c>
    </row>
    <row r="305" spans="3:7" x14ac:dyDescent="0.3">
      <c r="C305" s="19" t="s">
        <v>10</v>
      </c>
      <c r="D305" s="19" t="s">
        <v>38</v>
      </c>
      <c r="E305" s="19" t="s">
        <v>14</v>
      </c>
      <c r="F305" s="20">
        <v>5586</v>
      </c>
      <c r="G305" s="21">
        <v>525</v>
      </c>
    </row>
  </sheetData>
  <conditionalFormatting sqref="F5:F305">
    <cfRule type="colorScale" priority="2">
      <colorScale>
        <cfvo type="min"/>
        <cfvo type="percentile" val="50"/>
        <cfvo type="max"/>
        <color rgb="FF63BE7B"/>
        <color rgb="FFFFEB84"/>
        <color rgb="FFF8696B"/>
      </colorScale>
    </cfRule>
  </conditionalFormatting>
  <conditionalFormatting sqref="G5:G305">
    <cfRule type="dataBar" priority="1">
      <dataBar>
        <cfvo type="min"/>
        <cfvo type="max"/>
        <color rgb="FF638EC6"/>
      </dataBar>
      <extLst>
        <ext xmlns:x14="http://schemas.microsoft.com/office/spreadsheetml/2009/9/main" uri="{B025F937-C7B1-47D3-B67F-A62EFF666E3E}">
          <x14:id>{F168AC11-3CBE-4F96-8862-4662043A13A0}</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168AC11-3CBE-4F96-8862-4662043A13A0}">
            <x14:dataBar minLength="0" maxLength="100" border="1" negativeBarBorderColorSameAsPositive="0">
              <x14:cfvo type="autoMin"/>
              <x14:cfvo type="autoMax"/>
              <x14:borderColor rgb="FF638EC6"/>
              <x14:negativeFillColor rgb="FFFF0000"/>
              <x14:negativeBorderColor rgb="FFFF0000"/>
              <x14:axisColor rgb="FF000000"/>
            </x14:dataBar>
          </x14:cfRule>
          <xm:sqref>G5:G305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5B455-F466-4896-B4A7-F93B9CB0D080}">
  <dimension ref="A1:L10"/>
  <sheetViews>
    <sheetView workbookViewId="0">
      <selection activeCell="H8" sqref="H8"/>
    </sheetView>
  </sheetViews>
  <sheetFormatPr defaultRowHeight="15.05" x14ac:dyDescent="0.3"/>
  <cols>
    <col min="2" max="2" width="11.5546875" bestFit="1" customWidth="1"/>
    <col min="3" max="3" width="12.33203125" customWidth="1"/>
    <col min="4" max="4" width="12.5546875" bestFit="1" customWidth="1"/>
    <col min="5" max="5" width="10" customWidth="1"/>
  </cols>
  <sheetData>
    <row r="1" spans="1:12" s="2" customFormat="1" ht="52.45" customHeight="1" x14ac:dyDescent="1.1000000000000001">
      <c r="A1" s="15">
        <v>3</v>
      </c>
      <c r="C1" s="14" t="s">
        <v>45</v>
      </c>
    </row>
    <row r="4" spans="1:12" x14ac:dyDescent="0.3">
      <c r="B4" t="s">
        <v>70</v>
      </c>
      <c r="C4" t="s">
        <v>71</v>
      </c>
      <c r="D4" t="s">
        <v>80</v>
      </c>
      <c r="E4" t="s">
        <v>50</v>
      </c>
    </row>
    <row r="5" spans="1:12" x14ac:dyDescent="0.3">
      <c r="B5" s="13" t="s">
        <v>34</v>
      </c>
      <c r="C5" s="16">
        <f>SUMIFS(Data[Amount],Data[Geography],Table4[[#This Row],[Country ]])</f>
        <v>252469</v>
      </c>
      <c r="D5" s="16">
        <f>SUMIFS(Data[Amount],Data[Geography],Table4[[#This Row],[Country ]])</f>
        <v>252469</v>
      </c>
      <c r="E5" s="23">
        <f>SUMIFS(Data[Units],Data[Geography],Table4[[#This Row],[Country ]])</f>
        <v>8760</v>
      </c>
    </row>
    <row r="6" spans="1:12" x14ac:dyDescent="0.3">
      <c r="B6" s="13" t="s">
        <v>36</v>
      </c>
      <c r="C6" s="16">
        <f>SUMIFS(Data[Amount],Data[Geography],Table4[[#This Row],[Country ]])</f>
        <v>237944</v>
      </c>
      <c r="D6" s="16">
        <f>SUMIFS(Data[Amount],Data[Geography],Table4[[#This Row],[Country ]])</f>
        <v>237944</v>
      </c>
      <c r="E6" s="23">
        <f>SUMIFS(Data[Units],Data[Geography],Table4[[#This Row],[Country ]])</f>
        <v>7302</v>
      </c>
      <c r="K6" t="s">
        <v>73</v>
      </c>
      <c r="L6" t="s">
        <v>74</v>
      </c>
    </row>
    <row r="7" spans="1:12" x14ac:dyDescent="0.3">
      <c r="B7" s="12" t="s">
        <v>37</v>
      </c>
      <c r="C7" s="16">
        <f>SUMIFS(Data[Amount],Data[Geography],Table4[[#This Row],[Country ]])</f>
        <v>218813</v>
      </c>
      <c r="D7" s="16">
        <f>SUMIFS(Data[Amount],Data[Geography],Table4[[#This Row],[Country ]])</f>
        <v>218813</v>
      </c>
      <c r="E7" s="23">
        <f>SUMIFS(Data[Units],Data[Geography],Table4[[#This Row],[Country ]])</f>
        <v>7431</v>
      </c>
    </row>
    <row r="8" spans="1:12" x14ac:dyDescent="0.3">
      <c r="B8" s="12" t="s">
        <v>35</v>
      </c>
      <c r="C8" s="16">
        <f>SUMIFS(Data[Amount],Data[Geography],Table4[[#This Row],[Country ]])</f>
        <v>189434</v>
      </c>
      <c r="D8" s="16">
        <f>SUMIFS(Data[Amount],Data[Geography],Table4[[#This Row],[Country ]])</f>
        <v>189434</v>
      </c>
      <c r="E8" s="23">
        <f>SUMIFS(Data[Units],Data[Geography],Table4[[#This Row],[Country ]])</f>
        <v>10158</v>
      </c>
    </row>
    <row r="9" spans="1:12" x14ac:dyDescent="0.3">
      <c r="B9" s="12" t="s">
        <v>39</v>
      </c>
      <c r="C9" s="16">
        <f>SUMIFS(Data[Amount],Data[Geography],Table4[[#This Row],[Country ]])</f>
        <v>173530</v>
      </c>
      <c r="D9" s="16">
        <f>SUMIFS(Data[Amount],Data[Geography],Table4[[#This Row],[Country ]])</f>
        <v>173530</v>
      </c>
      <c r="E9" s="23">
        <f>SUMIFS(Data[Units],Data[Geography],Table4[[#This Row],[Country ]])</f>
        <v>5745</v>
      </c>
    </row>
    <row r="10" spans="1:12" x14ac:dyDescent="0.3">
      <c r="B10" s="12" t="s">
        <v>38</v>
      </c>
      <c r="C10" s="16">
        <f>SUMIFS(Data[Amount],Data[Geography],Table4[[#This Row],[Country ]])</f>
        <v>168679</v>
      </c>
      <c r="D10" s="16">
        <f>SUMIFS(Data[Amount],Data[Geography],Table4[[#This Row],[Country ]])</f>
        <v>168679</v>
      </c>
      <c r="E10" s="23">
        <f>SUMIFS(Data[Units],Data[Geography],Table4[[#This Row],[Country ]])</f>
        <v>6264</v>
      </c>
    </row>
  </sheetData>
  <conditionalFormatting sqref="D6">
    <cfRule type="dataBar" priority="5">
      <dataBar>
        <cfvo type="min"/>
        <cfvo type="max"/>
        <color rgb="FF638EC6"/>
      </dataBar>
      <extLst>
        <ext xmlns:x14="http://schemas.microsoft.com/office/spreadsheetml/2009/9/main" uri="{B025F937-C7B1-47D3-B67F-A62EFF666E3E}">
          <x14:id>{BC8C861F-ACA2-486D-A602-B816F80C8DC8}</x14:id>
        </ext>
      </extLst>
    </cfRule>
  </conditionalFormatting>
  <conditionalFormatting sqref="D5">
    <cfRule type="dataBar" priority="2">
      <dataBar showValue="0">
        <cfvo type="min"/>
        <cfvo type="max"/>
        <color rgb="FF638EC6"/>
      </dataBar>
      <extLst>
        <ext xmlns:x14="http://schemas.microsoft.com/office/spreadsheetml/2009/9/main" uri="{B025F937-C7B1-47D3-B67F-A62EFF666E3E}">
          <x14:id>{D2BB04EE-78AB-473B-AFF6-FF101077DFE8}</x14:id>
        </ext>
      </extLst>
    </cfRule>
    <cfRule type="dataBar" priority="4">
      <dataBar>
        <cfvo type="min"/>
        <cfvo type="max"/>
        <color rgb="FF638EC6"/>
      </dataBar>
      <extLst>
        <ext xmlns:x14="http://schemas.microsoft.com/office/spreadsheetml/2009/9/main" uri="{B025F937-C7B1-47D3-B67F-A62EFF666E3E}">
          <x14:id>{807845B9-070C-4D6F-B5F4-E83EE605BAC8}</x14:id>
        </ext>
      </extLst>
    </cfRule>
  </conditionalFormatting>
  <conditionalFormatting sqref="D7:D10">
    <cfRule type="dataBar" priority="3">
      <dataBar>
        <cfvo type="min"/>
        <cfvo type="max"/>
        <color rgb="FF638EC6"/>
      </dataBar>
      <extLst>
        <ext xmlns:x14="http://schemas.microsoft.com/office/spreadsheetml/2009/9/main" uri="{B025F937-C7B1-47D3-B67F-A62EFF666E3E}">
          <x14:id>{05118F34-AECA-4FAC-8359-BD83A5F9DA35}</x14:id>
        </ext>
      </extLst>
    </cfRule>
  </conditionalFormatting>
  <conditionalFormatting sqref="D5:D10">
    <cfRule type="dataBar" priority="1">
      <dataBar showValue="0">
        <cfvo type="min"/>
        <cfvo type="max"/>
        <color rgb="FF638EC6"/>
      </dataBar>
      <extLst>
        <ext xmlns:x14="http://schemas.microsoft.com/office/spreadsheetml/2009/9/main" uri="{B025F937-C7B1-47D3-B67F-A62EFF666E3E}">
          <x14:id>{47C83FD3-4C3A-4CEF-B6CA-EFA42C1F8BDF}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C8C861F-ACA2-486D-A602-B816F80C8DC8}">
            <x14:dataBar minLength="0" maxLength="100" gradient="0">
              <x14:cfvo type="autoMin"/>
              <x14:cfvo type="autoMax"/>
              <x14:negativeFillColor rgb="FFFF0000"/>
              <x14:axisColor rgb="FF000000"/>
            </x14:dataBar>
          </x14:cfRule>
          <xm:sqref>D6</xm:sqref>
        </x14:conditionalFormatting>
        <x14:conditionalFormatting xmlns:xm="http://schemas.microsoft.com/office/excel/2006/main">
          <x14:cfRule type="dataBar" id="{D2BB04EE-78AB-473B-AFF6-FF101077DFE8}">
            <x14:dataBar minLength="0" maxLength="100" gradient="0">
              <x14:cfvo type="autoMin"/>
              <x14:cfvo type="autoMax"/>
              <x14:negativeFillColor rgb="FFFF0000"/>
              <x14:axisColor rgb="FF000000"/>
            </x14:dataBar>
          </x14:cfRule>
          <x14:cfRule type="dataBar" id="{807845B9-070C-4D6F-B5F4-E83EE605BAC8}">
            <x14:dataBar minLength="0" maxLength="100" gradient="0">
              <x14:cfvo type="autoMin"/>
              <x14:cfvo type="autoMax"/>
              <x14:negativeFillColor rgb="FFFF0000"/>
              <x14:axisColor rgb="FF000000"/>
            </x14:dataBar>
          </x14:cfRule>
          <xm:sqref>D5</xm:sqref>
        </x14:conditionalFormatting>
        <x14:conditionalFormatting xmlns:xm="http://schemas.microsoft.com/office/excel/2006/main">
          <x14:cfRule type="dataBar" id="{05118F34-AECA-4FAC-8359-BD83A5F9DA35}">
            <x14:dataBar minLength="0" maxLength="100" gradient="0">
              <x14:cfvo type="autoMin"/>
              <x14:cfvo type="autoMax"/>
              <x14:negativeFillColor rgb="FFFF0000"/>
              <x14:axisColor rgb="FF000000"/>
            </x14:dataBar>
          </x14:cfRule>
          <xm:sqref>D7:D10</xm:sqref>
        </x14:conditionalFormatting>
        <x14:conditionalFormatting xmlns:xm="http://schemas.microsoft.com/office/excel/2006/main">
          <x14:cfRule type="dataBar" id="{47C83FD3-4C3A-4CEF-B6CA-EFA42C1F8BDF}">
            <x14:dataBar minLength="0" maxLength="100" gradient="0">
              <x14:cfvo type="autoMin"/>
              <x14:cfvo type="autoMax"/>
              <x14:negativeFillColor rgb="FFFF0000"/>
              <x14:axisColor rgb="FF000000"/>
            </x14:dataBar>
          </x14:cfRule>
          <xm:sqref>D5:D10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1E6C-530E-4F73-9A21-0C025246B4AC}">
  <dimension ref="A1:F12"/>
  <sheetViews>
    <sheetView workbookViewId="0">
      <selection sqref="A1:XFD1"/>
    </sheetView>
  </sheetViews>
  <sheetFormatPr defaultRowHeight="15.05" x14ac:dyDescent="0.3"/>
  <cols>
    <col min="3" max="3" width="12.44140625" bestFit="1" customWidth="1"/>
    <col min="4" max="4" width="14.44140625" bestFit="1" customWidth="1"/>
    <col min="5" max="5" width="1.44140625" bestFit="1" customWidth="1"/>
    <col min="6" max="6" width="11.77734375" bestFit="1" customWidth="1"/>
    <col min="7" max="7" width="12.33203125" bestFit="1" customWidth="1"/>
  </cols>
  <sheetData>
    <row r="1" spans="1:6" s="2" customFormat="1" ht="52.45" customHeight="1" x14ac:dyDescent="1.1000000000000001">
      <c r="A1" s="15">
        <v>4</v>
      </c>
      <c r="C1" s="14" t="s">
        <v>79</v>
      </c>
    </row>
    <row r="6" spans="1:6" x14ac:dyDescent="0.3">
      <c r="C6" s="24" t="s">
        <v>81</v>
      </c>
      <c r="D6" s="27" t="s">
        <v>83</v>
      </c>
      <c r="E6" t="s">
        <v>85</v>
      </c>
      <c r="F6" t="s">
        <v>84</v>
      </c>
    </row>
    <row r="7" spans="1:6" x14ac:dyDescent="0.3">
      <c r="C7" s="25" t="s">
        <v>38</v>
      </c>
      <c r="D7" s="26">
        <v>24983</v>
      </c>
      <c r="E7" s="4">
        <v>24983</v>
      </c>
      <c r="F7" s="5">
        <v>477</v>
      </c>
    </row>
    <row r="8" spans="1:6" x14ac:dyDescent="0.3">
      <c r="C8" s="25" t="s">
        <v>36</v>
      </c>
      <c r="D8" s="26">
        <v>25669</v>
      </c>
      <c r="E8" s="4">
        <v>25669</v>
      </c>
      <c r="F8" s="5">
        <v>564</v>
      </c>
    </row>
    <row r="9" spans="1:6" x14ac:dyDescent="0.3">
      <c r="C9" s="25" t="s">
        <v>34</v>
      </c>
      <c r="D9" s="26">
        <v>39424</v>
      </c>
      <c r="E9" s="4">
        <v>39424</v>
      </c>
      <c r="F9" s="5">
        <v>1122</v>
      </c>
    </row>
    <row r="10" spans="1:6" x14ac:dyDescent="0.3">
      <c r="C10" s="25" t="s">
        <v>37</v>
      </c>
      <c r="D10" s="26">
        <v>21434</v>
      </c>
      <c r="E10" s="4">
        <v>21434</v>
      </c>
      <c r="F10" s="5">
        <v>1116</v>
      </c>
    </row>
    <row r="11" spans="1:6" x14ac:dyDescent="0.3">
      <c r="C11" s="25" t="s">
        <v>39</v>
      </c>
      <c r="D11" s="26">
        <v>9751</v>
      </c>
      <c r="E11" s="4">
        <v>9751</v>
      </c>
      <c r="F11" s="5">
        <v>582</v>
      </c>
    </row>
    <row r="12" spans="1:6" x14ac:dyDescent="0.3">
      <c r="C12" s="25" t="s">
        <v>35</v>
      </c>
      <c r="D12" s="26">
        <v>11319</v>
      </c>
      <c r="E12" s="4">
        <v>11319</v>
      </c>
      <c r="F12" s="5">
        <v>693</v>
      </c>
    </row>
  </sheetData>
  <conditionalFormatting pivot="1" sqref="E7:E12">
    <cfRule type="dataBar" priority="3">
      <dataBar>
        <cfvo type="min"/>
        <cfvo type="max"/>
        <color rgb="FF638EC6"/>
      </dataBar>
      <extLst>
        <ext xmlns:x14="http://schemas.microsoft.com/office/spreadsheetml/2009/9/main" uri="{B025F937-C7B1-47D3-B67F-A62EFF666E3E}">
          <x14:id>{6EA0C35B-3FC5-47D6-A436-C6F5EE8ADA49}</x14:id>
        </ext>
      </extLst>
    </cfRule>
  </conditionalFormatting>
  <conditionalFormatting pivot="1" sqref="E12">
    <cfRule type="dataBar" priority="2">
      <dataBar showValue="0">
        <cfvo type="min"/>
        <cfvo type="max"/>
        <color theme="5" tint="-0.499984740745262"/>
      </dataBar>
      <extLst>
        <ext xmlns:x14="http://schemas.microsoft.com/office/spreadsheetml/2009/9/main" uri="{B025F937-C7B1-47D3-B67F-A62EFF666E3E}">
          <x14:id>{16C5FAA9-86D3-4520-B014-43BFFC522D99}</x14:id>
        </ext>
      </extLst>
    </cfRule>
  </conditionalFormatting>
  <conditionalFormatting pivot="1" sqref="E7:E12">
    <cfRule type="dataBar" priority="1">
      <dataBar showValue="0">
        <cfvo type="min"/>
        <cfvo type="max"/>
        <color theme="5" tint="-0.499984740745262"/>
      </dataBar>
      <extLst>
        <ext xmlns:x14="http://schemas.microsoft.com/office/spreadsheetml/2009/9/main" uri="{B025F937-C7B1-47D3-B67F-A62EFF666E3E}">
          <x14:id>{867097A9-B7DB-41C6-9648-4795B05F2A7F}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EA0C35B-3FC5-47D6-A436-C6F5EE8ADA49}">
            <x14:dataBar minLength="0" maxLength="100" gradient="0">
              <x14:cfvo type="autoMin"/>
              <x14:cfvo type="autoMax"/>
              <x14:negativeFillColor rgb="FFFF0000"/>
              <x14:axisColor rgb="FF000000"/>
            </x14:dataBar>
          </x14:cfRule>
          <xm:sqref>E7:E12</xm:sqref>
        </x14:conditionalFormatting>
        <x14:conditionalFormatting xmlns:xm="http://schemas.microsoft.com/office/excel/2006/main" pivot="1">
          <x14:cfRule type="dataBar" id="{16C5FAA9-86D3-4520-B014-43BFFC522D99}">
            <x14:dataBar minLength="0" maxLength="100" gradient="0">
              <x14:cfvo type="autoMin"/>
              <x14:cfvo type="autoMax"/>
              <x14:negativeFillColor rgb="FFFF0000"/>
              <x14:axisColor rgb="FF000000"/>
            </x14:dataBar>
          </x14:cfRule>
          <xm:sqref>E12</xm:sqref>
        </x14:conditionalFormatting>
        <x14:conditionalFormatting xmlns:xm="http://schemas.microsoft.com/office/excel/2006/main" pivot="1">
          <x14:cfRule type="dataBar" id="{867097A9-B7DB-41C6-9648-4795B05F2A7F}">
            <x14:dataBar minLength="0" maxLength="100" gradient="0">
              <x14:cfvo type="autoMin"/>
              <x14:cfvo type="autoMax"/>
              <x14:negativeFillColor rgb="FFFF0000"/>
              <x14:axisColor rgb="FF000000"/>
            </x14:dataBar>
          </x14:cfRule>
          <xm:sqref>E7:E12</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F8B5-6313-4F98-B843-E7AED604080C}">
  <dimension ref="A1:F26"/>
  <sheetViews>
    <sheetView workbookViewId="0">
      <selection sqref="A1:XFD1"/>
    </sheetView>
  </sheetViews>
  <sheetFormatPr defaultRowHeight="15.05" x14ac:dyDescent="0.3"/>
  <cols>
    <col min="3" max="3" width="20.21875" bestFit="1" customWidth="1"/>
    <col min="4" max="4" width="14.44140625" bestFit="1" customWidth="1"/>
    <col min="5" max="5" width="11.77734375" bestFit="1" customWidth="1"/>
    <col min="6" max="6" width="12.21875" bestFit="1" customWidth="1"/>
  </cols>
  <sheetData>
    <row r="1" spans="1:6" s="2" customFormat="1" ht="52.45" customHeight="1" x14ac:dyDescent="1.1000000000000001">
      <c r="A1" s="15">
        <v>5</v>
      </c>
      <c r="C1" s="14" t="s">
        <v>54</v>
      </c>
    </row>
    <row r="3" spans="1:6" x14ac:dyDescent="0.3">
      <c r="C3" s="24" t="s">
        <v>81</v>
      </c>
      <c r="D3" t="s">
        <v>83</v>
      </c>
      <c r="E3" t="s">
        <v>84</v>
      </c>
      <c r="F3" t="s">
        <v>86</v>
      </c>
    </row>
    <row r="4" spans="1:6" x14ac:dyDescent="0.3">
      <c r="C4" s="25" t="s">
        <v>14</v>
      </c>
      <c r="D4" s="22">
        <v>43183</v>
      </c>
      <c r="E4" s="22">
        <v>2022</v>
      </c>
      <c r="F4" s="28">
        <v>21.356577645895154</v>
      </c>
    </row>
    <row r="5" spans="1:6" x14ac:dyDescent="0.3">
      <c r="C5" s="25" t="s">
        <v>30</v>
      </c>
      <c r="D5" s="22">
        <v>66500</v>
      </c>
      <c r="E5" s="22">
        <v>2802</v>
      </c>
      <c r="F5" s="28">
        <v>23.733047822983583</v>
      </c>
    </row>
    <row r="6" spans="1:6" x14ac:dyDescent="0.3">
      <c r="C6" s="25" t="s">
        <v>24</v>
      </c>
      <c r="D6" s="22">
        <v>35378</v>
      </c>
      <c r="E6" s="22">
        <v>1044</v>
      </c>
      <c r="F6" s="28">
        <v>33.88697318007663</v>
      </c>
    </row>
    <row r="7" spans="1:6" x14ac:dyDescent="0.3">
      <c r="C7" s="25" t="s">
        <v>19</v>
      </c>
      <c r="D7" s="22">
        <v>44744</v>
      </c>
      <c r="E7" s="22">
        <v>1956</v>
      </c>
      <c r="F7" s="28">
        <v>22.87525562372188</v>
      </c>
    </row>
    <row r="8" spans="1:6" x14ac:dyDescent="0.3">
      <c r="C8" s="25" t="s">
        <v>22</v>
      </c>
      <c r="D8" s="22">
        <v>66283</v>
      </c>
      <c r="E8" s="22">
        <v>2052</v>
      </c>
      <c r="F8" s="28">
        <v>32.301656920077974</v>
      </c>
    </row>
    <row r="9" spans="1:6" x14ac:dyDescent="0.3">
      <c r="C9" s="25" t="s">
        <v>4</v>
      </c>
      <c r="D9" s="22">
        <v>33551</v>
      </c>
      <c r="E9" s="22">
        <v>1566</v>
      </c>
      <c r="F9" s="28">
        <v>21.424648786717754</v>
      </c>
    </row>
    <row r="10" spans="1:6" x14ac:dyDescent="0.3">
      <c r="C10" s="25" t="s">
        <v>26</v>
      </c>
      <c r="D10" s="22">
        <v>70273</v>
      </c>
      <c r="E10" s="22">
        <v>2142</v>
      </c>
      <c r="F10" s="28">
        <v>32.807189542483663</v>
      </c>
    </row>
    <row r="11" spans="1:6" x14ac:dyDescent="0.3">
      <c r="C11" s="25" t="s">
        <v>28</v>
      </c>
      <c r="D11" s="22">
        <v>72373</v>
      </c>
      <c r="E11" s="22">
        <v>3207</v>
      </c>
      <c r="F11" s="28">
        <v>22.567196757093857</v>
      </c>
    </row>
    <row r="12" spans="1:6" x14ac:dyDescent="0.3">
      <c r="C12" s="25" t="s">
        <v>32</v>
      </c>
      <c r="D12" s="22">
        <v>71967</v>
      </c>
      <c r="E12" s="22">
        <v>2301</v>
      </c>
      <c r="F12" s="28">
        <v>31.276401564537156</v>
      </c>
    </row>
    <row r="13" spans="1:6" x14ac:dyDescent="0.3">
      <c r="C13" s="25" t="s">
        <v>18</v>
      </c>
      <c r="D13" s="22">
        <v>52150</v>
      </c>
      <c r="E13" s="22">
        <v>1752</v>
      </c>
      <c r="F13" s="28">
        <v>29.765981735159816</v>
      </c>
    </row>
    <row r="14" spans="1:6" x14ac:dyDescent="0.3">
      <c r="C14" s="25" t="s">
        <v>17</v>
      </c>
      <c r="D14" s="22">
        <v>63721</v>
      </c>
      <c r="E14" s="22">
        <v>2331</v>
      </c>
      <c r="F14" s="28">
        <v>27.336336336336338</v>
      </c>
    </row>
    <row r="15" spans="1:6" x14ac:dyDescent="0.3">
      <c r="C15" s="25" t="s">
        <v>23</v>
      </c>
      <c r="D15" s="22">
        <v>56644</v>
      </c>
      <c r="E15" s="22">
        <v>1812</v>
      </c>
      <c r="F15" s="28">
        <v>31.260485651214129</v>
      </c>
    </row>
    <row r="16" spans="1:6" x14ac:dyDescent="0.3">
      <c r="C16" s="25" t="s">
        <v>29</v>
      </c>
      <c r="D16" s="22">
        <v>58009</v>
      </c>
      <c r="E16" s="22">
        <v>2976</v>
      </c>
      <c r="F16" s="28">
        <v>19.492271505376344</v>
      </c>
    </row>
    <row r="17" spans="3:6" x14ac:dyDescent="0.3">
      <c r="C17" s="25" t="s">
        <v>13</v>
      </c>
      <c r="D17" s="22">
        <v>47271</v>
      </c>
      <c r="E17" s="22">
        <v>1881</v>
      </c>
      <c r="F17" s="28">
        <v>25.130781499202552</v>
      </c>
    </row>
    <row r="18" spans="3:6" x14ac:dyDescent="0.3">
      <c r="C18" s="25" t="s">
        <v>16</v>
      </c>
      <c r="D18" s="22">
        <v>62111</v>
      </c>
      <c r="E18" s="22">
        <v>2154</v>
      </c>
      <c r="F18" s="28">
        <v>28.835190343546891</v>
      </c>
    </row>
    <row r="19" spans="3:6" x14ac:dyDescent="0.3">
      <c r="C19" s="25" t="s">
        <v>20</v>
      </c>
      <c r="D19" s="22">
        <v>54712</v>
      </c>
      <c r="E19" s="22">
        <v>2196</v>
      </c>
      <c r="F19" s="28">
        <v>24.9143897996357</v>
      </c>
    </row>
    <row r="20" spans="3:6" x14ac:dyDescent="0.3">
      <c r="C20" s="25" t="s">
        <v>27</v>
      </c>
      <c r="D20" s="22">
        <v>69461</v>
      </c>
      <c r="E20" s="22">
        <v>2982</v>
      </c>
      <c r="F20" s="28">
        <v>23.293427230046948</v>
      </c>
    </row>
    <row r="21" spans="3:6" x14ac:dyDescent="0.3">
      <c r="C21" s="25" t="s">
        <v>33</v>
      </c>
      <c r="D21" s="22">
        <v>69160</v>
      </c>
      <c r="E21" s="22">
        <v>1854</v>
      </c>
      <c r="F21" s="28">
        <v>37.303128371089535</v>
      </c>
    </row>
    <row r="22" spans="3:6" x14ac:dyDescent="0.3">
      <c r="C22" s="25" t="s">
        <v>15</v>
      </c>
      <c r="D22" s="22">
        <v>68971</v>
      </c>
      <c r="E22" s="22">
        <v>1533</v>
      </c>
      <c r="F22" s="28">
        <v>44.990867579908674</v>
      </c>
    </row>
    <row r="23" spans="3:6" x14ac:dyDescent="0.3">
      <c r="C23" s="25" t="s">
        <v>31</v>
      </c>
      <c r="D23" s="22">
        <v>39263</v>
      </c>
      <c r="E23" s="22">
        <v>1683</v>
      </c>
      <c r="F23" s="28">
        <v>23.329174093879978</v>
      </c>
    </row>
    <row r="24" spans="3:6" x14ac:dyDescent="0.3">
      <c r="C24" s="25" t="s">
        <v>21</v>
      </c>
      <c r="D24" s="22">
        <v>37772</v>
      </c>
      <c r="E24" s="22">
        <v>1308</v>
      </c>
      <c r="F24" s="28">
        <v>28.877675840978593</v>
      </c>
    </row>
    <row r="25" spans="3:6" x14ac:dyDescent="0.3">
      <c r="C25" s="25" t="s">
        <v>25</v>
      </c>
      <c r="D25" s="22">
        <v>57372</v>
      </c>
      <c r="E25" s="22">
        <v>2106</v>
      </c>
      <c r="F25" s="28">
        <v>27.242165242165242</v>
      </c>
    </row>
    <row r="26" spans="3:6" x14ac:dyDescent="0.3">
      <c r="C26" s="25" t="s">
        <v>82</v>
      </c>
      <c r="D26" s="22">
        <v>1240869</v>
      </c>
      <c r="E26" s="22">
        <v>45660</v>
      </c>
      <c r="F26" s="28">
        <v>27.17628120893561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6B002-41EE-4B09-BEDA-85C4BC09E163}">
  <dimension ref="A1:T306"/>
  <sheetViews>
    <sheetView workbookViewId="0">
      <selection sqref="A1:XFD1"/>
    </sheetView>
  </sheetViews>
  <sheetFormatPr defaultRowHeight="15.05" x14ac:dyDescent="0.3"/>
  <sheetData>
    <row r="1" spans="1:20" s="2" customFormat="1" ht="52.45" customHeight="1" x14ac:dyDescent="1.1000000000000001">
      <c r="A1" s="15">
        <v>6</v>
      </c>
      <c r="C1" s="14" t="s">
        <v>87</v>
      </c>
    </row>
    <row r="6" spans="1:20" x14ac:dyDescent="0.3">
      <c r="P6" s="6" t="s">
        <v>11</v>
      </c>
      <c r="Q6" s="6" t="s">
        <v>12</v>
      </c>
      <c r="R6" s="6" t="s">
        <v>0</v>
      </c>
      <c r="S6" s="10" t="s">
        <v>1</v>
      </c>
      <c r="T6" s="10" t="s">
        <v>50</v>
      </c>
    </row>
    <row r="7" spans="1:20" x14ac:dyDescent="0.3">
      <c r="P7" t="s">
        <v>40</v>
      </c>
      <c r="Q7" t="s">
        <v>37</v>
      </c>
      <c r="R7" t="s">
        <v>30</v>
      </c>
      <c r="S7" s="4">
        <v>1624</v>
      </c>
      <c r="T7" s="5">
        <v>114</v>
      </c>
    </row>
    <row r="8" spans="1:20" x14ac:dyDescent="0.3">
      <c r="P8" t="s">
        <v>8</v>
      </c>
      <c r="Q8" t="s">
        <v>35</v>
      </c>
      <c r="R8" t="s">
        <v>32</v>
      </c>
      <c r="S8" s="4">
        <v>6706</v>
      </c>
      <c r="T8" s="5">
        <v>459</v>
      </c>
    </row>
    <row r="9" spans="1:20" x14ac:dyDescent="0.3">
      <c r="P9" t="s">
        <v>9</v>
      </c>
      <c r="Q9" t="s">
        <v>35</v>
      </c>
      <c r="R9" t="s">
        <v>4</v>
      </c>
      <c r="S9" s="4">
        <v>959</v>
      </c>
      <c r="T9" s="5">
        <v>147</v>
      </c>
    </row>
    <row r="10" spans="1:20" x14ac:dyDescent="0.3">
      <c r="P10" t="s">
        <v>41</v>
      </c>
      <c r="Q10" t="s">
        <v>36</v>
      </c>
      <c r="R10" t="s">
        <v>18</v>
      </c>
      <c r="S10" s="4">
        <v>9632</v>
      </c>
      <c r="T10" s="5">
        <v>288</v>
      </c>
    </row>
    <row r="11" spans="1:20" x14ac:dyDescent="0.3">
      <c r="P11" t="s">
        <v>6</v>
      </c>
      <c r="Q11" t="s">
        <v>39</v>
      </c>
      <c r="R11" t="s">
        <v>25</v>
      </c>
      <c r="S11" s="4">
        <v>2100</v>
      </c>
      <c r="T11" s="5">
        <v>414</v>
      </c>
    </row>
    <row r="12" spans="1:20" x14ac:dyDescent="0.3">
      <c r="P12" t="s">
        <v>40</v>
      </c>
      <c r="Q12" t="s">
        <v>35</v>
      </c>
      <c r="R12" t="s">
        <v>33</v>
      </c>
      <c r="S12" s="4">
        <v>8869</v>
      </c>
      <c r="T12" s="5">
        <v>432</v>
      </c>
    </row>
    <row r="13" spans="1:20" x14ac:dyDescent="0.3">
      <c r="P13" t="s">
        <v>6</v>
      </c>
      <c r="Q13" t="s">
        <v>38</v>
      </c>
      <c r="R13" t="s">
        <v>31</v>
      </c>
      <c r="S13" s="4">
        <v>2681</v>
      </c>
      <c r="T13" s="5">
        <v>54</v>
      </c>
    </row>
    <row r="14" spans="1:20" x14ac:dyDescent="0.3">
      <c r="P14" t="s">
        <v>8</v>
      </c>
      <c r="Q14" t="s">
        <v>35</v>
      </c>
      <c r="R14" t="s">
        <v>22</v>
      </c>
      <c r="S14" s="4">
        <v>5012</v>
      </c>
      <c r="T14" s="5">
        <v>210</v>
      </c>
    </row>
    <row r="15" spans="1:20" x14ac:dyDescent="0.3">
      <c r="P15" t="s">
        <v>7</v>
      </c>
      <c r="Q15" t="s">
        <v>38</v>
      </c>
      <c r="R15" t="s">
        <v>14</v>
      </c>
      <c r="S15" s="4">
        <v>1281</v>
      </c>
      <c r="T15" s="5">
        <v>75</v>
      </c>
    </row>
    <row r="16" spans="1:20" x14ac:dyDescent="0.3">
      <c r="P16" t="s">
        <v>5</v>
      </c>
      <c r="Q16" t="s">
        <v>37</v>
      </c>
      <c r="R16" t="s">
        <v>14</v>
      </c>
      <c r="S16" s="4">
        <v>4991</v>
      </c>
      <c r="T16" s="5">
        <v>12</v>
      </c>
    </row>
    <row r="17" spans="16:20" x14ac:dyDescent="0.3">
      <c r="P17" t="s">
        <v>2</v>
      </c>
      <c r="Q17" t="s">
        <v>39</v>
      </c>
      <c r="R17" t="s">
        <v>25</v>
      </c>
      <c r="S17" s="4">
        <v>1785</v>
      </c>
      <c r="T17" s="5">
        <v>462</v>
      </c>
    </row>
    <row r="18" spans="16:20" x14ac:dyDescent="0.3">
      <c r="P18" t="s">
        <v>3</v>
      </c>
      <c r="Q18" t="s">
        <v>37</v>
      </c>
      <c r="R18" t="s">
        <v>17</v>
      </c>
      <c r="S18" s="4">
        <v>3983</v>
      </c>
      <c r="T18" s="5">
        <v>144</v>
      </c>
    </row>
    <row r="19" spans="16:20" x14ac:dyDescent="0.3">
      <c r="P19" t="s">
        <v>9</v>
      </c>
      <c r="Q19" t="s">
        <v>38</v>
      </c>
      <c r="R19" t="s">
        <v>16</v>
      </c>
      <c r="S19" s="4">
        <v>2646</v>
      </c>
      <c r="T19" s="5">
        <v>120</v>
      </c>
    </row>
    <row r="20" spans="16:20" x14ac:dyDescent="0.3">
      <c r="P20" t="s">
        <v>2</v>
      </c>
      <c r="Q20" t="s">
        <v>34</v>
      </c>
      <c r="R20" t="s">
        <v>13</v>
      </c>
      <c r="S20" s="4">
        <v>252</v>
      </c>
      <c r="T20" s="5">
        <v>54</v>
      </c>
    </row>
    <row r="21" spans="16:20" x14ac:dyDescent="0.3">
      <c r="P21" t="s">
        <v>3</v>
      </c>
      <c r="Q21" t="s">
        <v>35</v>
      </c>
      <c r="R21" t="s">
        <v>25</v>
      </c>
      <c r="S21" s="4">
        <v>2464</v>
      </c>
      <c r="T21" s="5">
        <v>234</v>
      </c>
    </row>
    <row r="22" spans="16:20" x14ac:dyDescent="0.3">
      <c r="P22" t="s">
        <v>3</v>
      </c>
      <c r="Q22" t="s">
        <v>35</v>
      </c>
      <c r="R22" t="s">
        <v>29</v>
      </c>
      <c r="S22" s="4">
        <v>2114</v>
      </c>
      <c r="T22" s="5">
        <v>66</v>
      </c>
    </row>
    <row r="23" spans="16:20" x14ac:dyDescent="0.3">
      <c r="P23" t="s">
        <v>6</v>
      </c>
      <c r="Q23" t="s">
        <v>37</v>
      </c>
      <c r="R23" t="s">
        <v>31</v>
      </c>
      <c r="S23" s="4">
        <v>7693</v>
      </c>
      <c r="T23" s="5">
        <v>87</v>
      </c>
    </row>
    <row r="24" spans="16:20" x14ac:dyDescent="0.3">
      <c r="P24" t="s">
        <v>5</v>
      </c>
      <c r="Q24" t="s">
        <v>34</v>
      </c>
      <c r="R24" t="s">
        <v>20</v>
      </c>
      <c r="S24" s="4">
        <v>15610</v>
      </c>
      <c r="T24" s="5">
        <v>339</v>
      </c>
    </row>
    <row r="25" spans="16:20" x14ac:dyDescent="0.3">
      <c r="P25" t="s">
        <v>41</v>
      </c>
      <c r="Q25" t="s">
        <v>34</v>
      </c>
      <c r="R25" t="s">
        <v>22</v>
      </c>
      <c r="S25" s="4">
        <v>336</v>
      </c>
      <c r="T25" s="5">
        <v>144</v>
      </c>
    </row>
    <row r="26" spans="16:20" x14ac:dyDescent="0.3">
      <c r="P26" t="s">
        <v>2</v>
      </c>
      <c r="Q26" t="s">
        <v>39</v>
      </c>
      <c r="R26" t="s">
        <v>20</v>
      </c>
      <c r="S26" s="4">
        <v>9443</v>
      </c>
      <c r="T26" s="5">
        <v>162</v>
      </c>
    </row>
    <row r="27" spans="16:20" x14ac:dyDescent="0.3">
      <c r="P27" t="s">
        <v>9</v>
      </c>
      <c r="Q27" t="s">
        <v>34</v>
      </c>
      <c r="R27" t="s">
        <v>23</v>
      </c>
      <c r="S27" s="4">
        <v>8155</v>
      </c>
      <c r="T27" s="5">
        <v>90</v>
      </c>
    </row>
    <row r="28" spans="16:20" x14ac:dyDescent="0.3">
      <c r="P28" t="s">
        <v>8</v>
      </c>
      <c r="Q28" t="s">
        <v>38</v>
      </c>
      <c r="R28" t="s">
        <v>23</v>
      </c>
      <c r="S28" s="4">
        <v>1701</v>
      </c>
      <c r="T28" s="5">
        <v>234</v>
      </c>
    </row>
    <row r="29" spans="16:20" x14ac:dyDescent="0.3">
      <c r="P29" t="s">
        <v>10</v>
      </c>
      <c r="Q29" t="s">
        <v>38</v>
      </c>
      <c r="R29" t="s">
        <v>22</v>
      </c>
      <c r="S29" s="4">
        <v>2205</v>
      </c>
      <c r="T29" s="5">
        <v>141</v>
      </c>
    </row>
    <row r="30" spans="16:20" x14ac:dyDescent="0.3">
      <c r="P30" t="s">
        <v>8</v>
      </c>
      <c r="Q30" t="s">
        <v>37</v>
      </c>
      <c r="R30" t="s">
        <v>19</v>
      </c>
      <c r="S30" s="4">
        <v>1771</v>
      </c>
      <c r="T30" s="5">
        <v>204</v>
      </c>
    </row>
    <row r="31" spans="16:20" x14ac:dyDescent="0.3">
      <c r="P31" t="s">
        <v>41</v>
      </c>
      <c r="Q31" t="s">
        <v>35</v>
      </c>
      <c r="R31" t="s">
        <v>15</v>
      </c>
      <c r="S31" s="4">
        <v>2114</v>
      </c>
      <c r="T31" s="5">
        <v>186</v>
      </c>
    </row>
    <row r="32" spans="16:20" x14ac:dyDescent="0.3">
      <c r="P32" t="s">
        <v>41</v>
      </c>
      <c r="Q32" t="s">
        <v>36</v>
      </c>
      <c r="R32" t="s">
        <v>13</v>
      </c>
      <c r="S32" s="4">
        <v>10311</v>
      </c>
      <c r="T32" s="5">
        <v>231</v>
      </c>
    </row>
    <row r="33" spans="16:20" x14ac:dyDescent="0.3">
      <c r="P33" t="s">
        <v>3</v>
      </c>
      <c r="Q33" t="s">
        <v>39</v>
      </c>
      <c r="R33" t="s">
        <v>16</v>
      </c>
      <c r="S33" s="4">
        <v>21</v>
      </c>
      <c r="T33" s="5">
        <v>168</v>
      </c>
    </row>
    <row r="34" spans="16:20" x14ac:dyDescent="0.3">
      <c r="P34" t="s">
        <v>10</v>
      </c>
      <c r="Q34" t="s">
        <v>35</v>
      </c>
      <c r="R34" t="s">
        <v>20</v>
      </c>
      <c r="S34" s="4">
        <v>1974</v>
      </c>
      <c r="T34" s="5">
        <v>195</v>
      </c>
    </row>
    <row r="35" spans="16:20" x14ac:dyDescent="0.3">
      <c r="P35" t="s">
        <v>5</v>
      </c>
      <c r="Q35" t="s">
        <v>36</v>
      </c>
      <c r="R35" t="s">
        <v>23</v>
      </c>
      <c r="S35" s="4">
        <v>6314</v>
      </c>
      <c r="T35" s="5">
        <v>15</v>
      </c>
    </row>
    <row r="36" spans="16:20" x14ac:dyDescent="0.3">
      <c r="P36" t="s">
        <v>10</v>
      </c>
      <c r="Q36" t="s">
        <v>37</v>
      </c>
      <c r="R36" t="s">
        <v>23</v>
      </c>
      <c r="S36" s="4">
        <v>4683</v>
      </c>
      <c r="T36" s="5">
        <v>30</v>
      </c>
    </row>
    <row r="37" spans="16:20" x14ac:dyDescent="0.3">
      <c r="P37" t="s">
        <v>41</v>
      </c>
      <c r="Q37" t="s">
        <v>37</v>
      </c>
      <c r="R37" t="s">
        <v>24</v>
      </c>
      <c r="S37" s="4">
        <v>6398</v>
      </c>
      <c r="T37" s="5">
        <v>102</v>
      </c>
    </row>
    <row r="38" spans="16:20" x14ac:dyDescent="0.3">
      <c r="P38" t="s">
        <v>2</v>
      </c>
      <c r="Q38" t="s">
        <v>35</v>
      </c>
      <c r="R38" t="s">
        <v>19</v>
      </c>
      <c r="S38" s="4">
        <v>553</v>
      </c>
      <c r="T38" s="5">
        <v>15</v>
      </c>
    </row>
    <row r="39" spans="16:20" x14ac:dyDescent="0.3">
      <c r="P39" t="s">
        <v>8</v>
      </c>
      <c r="Q39" t="s">
        <v>39</v>
      </c>
      <c r="R39" t="s">
        <v>30</v>
      </c>
      <c r="S39" s="4">
        <v>7021</v>
      </c>
      <c r="T39" s="5">
        <v>183</v>
      </c>
    </row>
    <row r="40" spans="16:20" x14ac:dyDescent="0.3">
      <c r="P40" t="s">
        <v>40</v>
      </c>
      <c r="Q40" t="s">
        <v>39</v>
      </c>
      <c r="R40" t="s">
        <v>22</v>
      </c>
      <c r="S40" s="4">
        <v>5817</v>
      </c>
      <c r="T40" s="5">
        <v>12</v>
      </c>
    </row>
    <row r="41" spans="16:20" x14ac:dyDescent="0.3">
      <c r="P41" t="s">
        <v>41</v>
      </c>
      <c r="Q41" t="s">
        <v>39</v>
      </c>
      <c r="R41" t="s">
        <v>14</v>
      </c>
      <c r="S41" s="4">
        <v>3976</v>
      </c>
      <c r="T41" s="5">
        <v>72</v>
      </c>
    </row>
    <row r="42" spans="16:20" x14ac:dyDescent="0.3">
      <c r="P42" t="s">
        <v>6</v>
      </c>
      <c r="Q42" t="s">
        <v>38</v>
      </c>
      <c r="R42" t="s">
        <v>27</v>
      </c>
      <c r="S42" s="4">
        <v>1134</v>
      </c>
      <c r="T42" s="5">
        <v>282</v>
      </c>
    </row>
    <row r="43" spans="16:20" x14ac:dyDescent="0.3">
      <c r="P43" t="s">
        <v>2</v>
      </c>
      <c r="Q43" t="s">
        <v>39</v>
      </c>
      <c r="R43" t="s">
        <v>28</v>
      </c>
      <c r="S43" s="4">
        <v>6027</v>
      </c>
      <c r="T43" s="5">
        <v>144</v>
      </c>
    </row>
    <row r="44" spans="16:20" x14ac:dyDescent="0.3">
      <c r="P44" t="s">
        <v>6</v>
      </c>
      <c r="Q44" t="s">
        <v>37</v>
      </c>
      <c r="R44" t="s">
        <v>16</v>
      </c>
      <c r="S44" s="4">
        <v>1904</v>
      </c>
      <c r="T44" s="5">
        <v>405</v>
      </c>
    </row>
    <row r="45" spans="16:20" x14ac:dyDescent="0.3">
      <c r="P45" t="s">
        <v>7</v>
      </c>
      <c r="Q45" t="s">
        <v>34</v>
      </c>
      <c r="R45" t="s">
        <v>32</v>
      </c>
      <c r="S45" s="4">
        <v>3262</v>
      </c>
      <c r="T45" s="5">
        <v>75</v>
      </c>
    </row>
    <row r="46" spans="16:20" x14ac:dyDescent="0.3">
      <c r="P46" t="s">
        <v>40</v>
      </c>
      <c r="Q46" t="s">
        <v>34</v>
      </c>
      <c r="R46" t="s">
        <v>27</v>
      </c>
      <c r="S46" s="4">
        <v>2289</v>
      </c>
      <c r="T46" s="5">
        <v>135</v>
      </c>
    </row>
    <row r="47" spans="16:20" x14ac:dyDescent="0.3">
      <c r="P47" t="s">
        <v>5</v>
      </c>
      <c r="Q47" t="s">
        <v>34</v>
      </c>
      <c r="R47" t="s">
        <v>27</v>
      </c>
      <c r="S47" s="4">
        <v>6986</v>
      </c>
      <c r="T47" s="5">
        <v>21</v>
      </c>
    </row>
    <row r="48" spans="16:20" x14ac:dyDescent="0.3">
      <c r="P48" t="s">
        <v>2</v>
      </c>
      <c r="Q48" t="s">
        <v>38</v>
      </c>
      <c r="R48" t="s">
        <v>23</v>
      </c>
      <c r="S48" s="4">
        <v>4417</v>
      </c>
      <c r="T48" s="5">
        <v>153</v>
      </c>
    </row>
    <row r="49" spans="16:20" x14ac:dyDescent="0.3">
      <c r="P49" t="s">
        <v>6</v>
      </c>
      <c r="Q49" t="s">
        <v>34</v>
      </c>
      <c r="R49" t="s">
        <v>15</v>
      </c>
      <c r="S49" s="4">
        <v>1442</v>
      </c>
      <c r="T49" s="5">
        <v>15</v>
      </c>
    </row>
    <row r="50" spans="16:20" x14ac:dyDescent="0.3">
      <c r="P50" t="s">
        <v>3</v>
      </c>
      <c r="Q50" t="s">
        <v>35</v>
      </c>
      <c r="R50" t="s">
        <v>14</v>
      </c>
      <c r="S50" s="4">
        <v>2415</v>
      </c>
      <c r="T50" s="5">
        <v>255</v>
      </c>
    </row>
    <row r="51" spans="16:20" x14ac:dyDescent="0.3">
      <c r="P51" t="s">
        <v>2</v>
      </c>
      <c r="Q51" t="s">
        <v>37</v>
      </c>
      <c r="R51" t="s">
        <v>19</v>
      </c>
      <c r="S51" s="4">
        <v>238</v>
      </c>
      <c r="T51" s="5">
        <v>18</v>
      </c>
    </row>
    <row r="52" spans="16:20" x14ac:dyDescent="0.3">
      <c r="P52" t="s">
        <v>6</v>
      </c>
      <c r="Q52" t="s">
        <v>37</v>
      </c>
      <c r="R52" t="s">
        <v>23</v>
      </c>
      <c r="S52" s="4">
        <v>4949</v>
      </c>
      <c r="T52" s="5">
        <v>189</v>
      </c>
    </row>
    <row r="53" spans="16:20" x14ac:dyDescent="0.3">
      <c r="P53" t="s">
        <v>5</v>
      </c>
      <c r="Q53" t="s">
        <v>38</v>
      </c>
      <c r="R53" t="s">
        <v>32</v>
      </c>
      <c r="S53" s="4">
        <v>5075</v>
      </c>
      <c r="T53" s="5">
        <v>21</v>
      </c>
    </row>
    <row r="54" spans="16:20" x14ac:dyDescent="0.3">
      <c r="P54" t="s">
        <v>3</v>
      </c>
      <c r="Q54" t="s">
        <v>36</v>
      </c>
      <c r="R54" t="s">
        <v>16</v>
      </c>
      <c r="S54" s="4">
        <v>9198</v>
      </c>
      <c r="T54" s="5">
        <v>36</v>
      </c>
    </row>
    <row r="55" spans="16:20" x14ac:dyDescent="0.3">
      <c r="P55" t="s">
        <v>6</v>
      </c>
      <c r="Q55" t="s">
        <v>34</v>
      </c>
      <c r="R55" t="s">
        <v>29</v>
      </c>
      <c r="S55" s="4">
        <v>3339</v>
      </c>
      <c r="T55" s="5">
        <v>75</v>
      </c>
    </row>
    <row r="56" spans="16:20" x14ac:dyDescent="0.3">
      <c r="P56" t="s">
        <v>40</v>
      </c>
      <c r="Q56" t="s">
        <v>34</v>
      </c>
      <c r="R56" t="s">
        <v>17</v>
      </c>
      <c r="S56" s="4">
        <v>5019</v>
      </c>
      <c r="T56" s="5">
        <v>156</v>
      </c>
    </row>
    <row r="57" spans="16:20" x14ac:dyDescent="0.3">
      <c r="P57" t="s">
        <v>5</v>
      </c>
      <c r="Q57" t="s">
        <v>36</v>
      </c>
      <c r="R57" t="s">
        <v>16</v>
      </c>
      <c r="S57" s="4">
        <v>16184</v>
      </c>
      <c r="T57" s="5">
        <v>39</v>
      </c>
    </row>
    <row r="58" spans="16:20" x14ac:dyDescent="0.3">
      <c r="P58" t="s">
        <v>6</v>
      </c>
      <c r="Q58" t="s">
        <v>36</v>
      </c>
      <c r="R58" t="s">
        <v>21</v>
      </c>
      <c r="S58" s="4">
        <v>497</v>
      </c>
      <c r="T58" s="5">
        <v>63</v>
      </c>
    </row>
    <row r="59" spans="16:20" x14ac:dyDescent="0.3">
      <c r="P59" t="s">
        <v>2</v>
      </c>
      <c r="Q59" t="s">
        <v>36</v>
      </c>
      <c r="R59" t="s">
        <v>29</v>
      </c>
      <c r="S59" s="4">
        <v>8211</v>
      </c>
      <c r="T59" s="5">
        <v>75</v>
      </c>
    </row>
    <row r="60" spans="16:20" x14ac:dyDescent="0.3">
      <c r="P60" t="s">
        <v>2</v>
      </c>
      <c r="Q60" t="s">
        <v>38</v>
      </c>
      <c r="R60" t="s">
        <v>28</v>
      </c>
      <c r="S60" s="4">
        <v>6580</v>
      </c>
      <c r="T60" s="5">
        <v>183</v>
      </c>
    </row>
    <row r="61" spans="16:20" x14ac:dyDescent="0.3">
      <c r="P61" t="s">
        <v>41</v>
      </c>
      <c r="Q61" t="s">
        <v>35</v>
      </c>
      <c r="R61" t="s">
        <v>13</v>
      </c>
      <c r="S61" s="4">
        <v>4760</v>
      </c>
      <c r="T61" s="5">
        <v>69</v>
      </c>
    </row>
    <row r="62" spans="16:20" x14ac:dyDescent="0.3">
      <c r="P62" t="s">
        <v>40</v>
      </c>
      <c r="Q62" t="s">
        <v>36</v>
      </c>
      <c r="R62" t="s">
        <v>25</v>
      </c>
      <c r="S62" s="4">
        <v>5439</v>
      </c>
      <c r="T62" s="5">
        <v>30</v>
      </c>
    </row>
    <row r="63" spans="16:20" x14ac:dyDescent="0.3">
      <c r="P63" t="s">
        <v>41</v>
      </c>
      <c r="Q63" t="s">
        <v>34</v>
      </c>
      <c r="R63" t="s">
        <v>17</v>
      </c>
      <c r="S63" s="4">
        <v>1463</v>
      </c>
      <c r="T63" s="5">
        <v>39</v>
      </c>
    </row>
    <row r="64" spans="16:20" x14ac:dyDescent="0.3">
      <c r="P64" t="s">
        <v>3</v>
      </c>
      <c r="Q64" t="s">
        <v>34</v>
      </c>
      <c r="R64" t="s">
        <v>32</v>
      </c>
      <c r="S64" s="4">
        <v>7777</v>
      </c>
      <c r="T64" s="5">
        <v>504</v>
      </c>
    </row>
    <row r="65" spans="16:20" x14ac:dyDescent="0.3">
      <c r="P65" t="s">
        <v>9</v>
      </c>
      <c r="Q65" t="s">
        <v>37</v>
      </c>
      <c r="R65" t="s">
        <v>29</v>
      </c>
      <c r="S65" s="4">
        <v>1085</v>
      </c>
      <c r="T65" s="5">
        <v>273</v>
      </c>
    </row>
    <row r="66" spans="16:20" x14ac:dyDescent="0.3">
      <c r="P66" t="s">
        <v>5</v>
      </c>
      <c r="Q66" t="s">
        <v>37</v>
      </c>
      <c r="R66" t="s">
        <v>31</v>
      </c>
      <c r="S66" s="4">
        <v>182</v>
      </c>
      <c r="T66" s="5">
        <v>48</v>
      </c>
    </row>
    <row r="67" spans="16:20" x14ac:dyDescent="0.3">
      <c r="P67" t="s">
        <v>6</v>
      </c>
      <c r="Q67" t="s">
        <v>34</v>
      </c>
      <c r="R67" t="s">
        <v>27</v>
      </c>
      <c r="S67" s="4">
        <v>4242</v>
      </c>
      <c r="T67" s="5">
        <v>207</v>
      </c>
    </row>
    <row r="68" spans="16:20" x14ac:dyDescent="0.3">
      <c r="P68" t="s">
        <v>6</v>
      </c>
      <c r="Q68" t="s">
        <v>36</v>
      </c>
      <c r="R68" t="s">
        <v>32</v>
      </c>
      <c r="S68" s="4">
        <v>6118</v>
      </c>
      <c r="T68" s="5">
        <v>9</v>
      </c>
    </row>
    <row r="69" spans="16:20" x14ac:dyDescent="0.3">
      <c r="P69" t="s">
        <v>10</v>
      </c>
      <c r="Q69" t="s">
        <v>36</v>
      </c>
      <c r="R69" t="s">
        <v>23</v>
      </c>
      <c r="S69" s="4">
        <v>2317</v>
      </c>
      <c r="T69" s="5">
        <v>261</v>
      </c>
    </row>
    <row r="70" spans="16:20" x14ac:dyDescent="0.3">
      <c r="P70" t="s">
        <v>6</v>
      </c>
      <c r="Q70" t="s">
        <v>38</v>
      </c>
      <c r="R70" t="s">
        <v>16</v>
      </c>
      <c r="S70" s="4">
        <v>938</v>
      </c>
      <c r="T70" s="5">
        <v>6</v>
      </c>
    </row>
    <row r="71" spans="16:20" x14ac:dyDescent="0.3">
      <c r="P71" t="s">
        <v>8</v>
      </c>
      <c r="Q71" t="s">
        <v>37</v>
      </c>
      <c r="R71" t="s">
        <v>15</v>
      </c>
      <c r="S71" s="4">
        <v>9709</v>
      </c>
      <c r="T71" s="5">
        <v>30</v>
      </c>
    </row>
    <row r="72" spans="16:20" x14ac:dyDescent="0.3">
      <c r="P72" t="s">
        <v>7</v>
      </c>
      <c r="Q72" t="s">
        <v>34</v>
      </c>
      <c r="R72" t="s">
        <v>20</v>
      </c>
      <c r="S72" s="4">
        <v>2205</v>
      </c>
      <c r="T72" s="5">
        <v>138</v>
      </c>
    </row>
    <row r="73" spans="16:20" x14ac:dyDescent="0.3">
      <c r="P73" t="s">
        <v>7</v>
      </c>
      <c r="Q73" t="s">
        <v>37</v>
      </c>
      <c r="R73" t="s">
        <v>17</v>
      </c>
      <c r="S73" s="4">
        <v>4487</v>
      </c>
      <c r="T73" s="5">
        <v>111</v>
      </c>
    </row>
    <row r="74" spans="16:20" x14ac:dyDescent="0.3">
      <c r="P74" t="s">
        <v>5</v>
      </c>
      <c r="Q74" t="s">
        <v>35</v>
      </c>
      <c r="R74" t="s">
        <v>18</v>
      </c>
      <c r="S74" s="4">
        <v>2415</v>
      </c>
      <c r="T74" s="5">
        <v>15</v>
      </c>
    </row>
    <row r="75" spans="16:20" x14ac:dyDescent="0.3">
      <c r="P75" t="s">
        <v>40</v>
      </c>
      <c r="Q75" t="s">
        <v>34</v>
      </c>
      <c r="R75" t="s">
        <v>19</v>
      </c>
      <c r="S75" s="4">
        <v>4018</v>
      </c>
      <c r="T75" s="5">
        <v>162</v>
      </c>
    </row>
    <row r="76" spans="16:20" x14ac:dyDescent="0.3">
      <c r="P76" t="s">
        <v>5</v>
      </c>
      <c r="Q76" t="s">
        <v>34</v>
      </c>
      <c r="R76" t="s">
        <v>19</v>
      </c>
      <c r="S76" s="4">
        <v>861</v>
      </c>
      <c r="T76" s="5">
        <v>195</v>
      </c>
    </row>
    <row r="77" spans="16:20" x14ac:dyDescent="0.3">
      <c r="P77" t="s">
        <v>10</v>
      </c>
      <c r="Q77" t="s">
        <v>38</v>
      </c>
      <c r="R77" t="s">
        <v>14</v>
      </c>
      <c r="S77" s="4">
        <v>5586</v>
      </c>
      <c r="T77" s="5">
        <v>525</v>
      </c>
    </row>
    <row r="78" spans="16:20" x14ac:dyDescent="0.3">
      <c r="P78" t="s">
        <v>7</v>
      </c>
      <c r="Q78" t="s">
        <v>34</v>
      </c>
      <c r="R78" t="s">
        <v>33</v>
      </c>
      <c r="S78" s="4">
        <v>2226</v>
      </c>
      <c r="T78" s="5">
        <v>48</v>
      </c>
    </row>
    <row r="79" spans="16:20" x14ac:dyDescent="0.3">
      <c r="P79" t="s">
        <v>9</v>
      </c>
      <c r="Q79" t="s">
        <v>34</v>
      </c>
      <c r="R79" t="s">
        <v>28</v>
      </c>
      <c r="S79" s="4">
        <v>14329</v>
      </c>
      <c r="T79" s="5">
        <v>150</v>
      </c>
    </row>
    <row r="80" spans="16:20" x14ac:dyDescent="0.3">
      <c r="P80" t="s">
        <v>9</v>
      </c>
      <c r="Q80" t="s">
        <v>34</v>
      </c>
      <c r="R80" t="s">
        <v>20</v>
      </c>
      <c r="S80" s="4">
        <v>8463</v>
      </c>
      <c r="T80" s="5">
        <v>492</v>
      </c>
    </row>
    <row r="81" spans="16:20" x14ac:dyDescent="0.3">
      <c r="P81" t="s">
        <v>5</v>
      </c>
      <c r="Q81" t="s">
        <v>34</v>
      </c>
      <c r="R81" t="s">
        <v>29</v>
      </c>
      <c r="S81" s="4">
        <v>2891</v>
      </c>
      <c r="T81" s="5">
        <v>102</v>
      </c>
    </row>
    <row r="82" spans="16:20" x14ac:dyDescent="0.3">
      <c r="P82" t="s">
        <v>3</v>
      </c>
      <c r="Q82" t="s">
        <v>36</v>
      </c>
      <c r="R82" t="s">
        <v>23</v>
      </c>
      <c r="S82" s="4">
        <v>3773</v>
      </c>
      <c r="T82" s="5">
        <v>165</v>
      </c>
    </row>
    <row r="83" spans="16:20" x14ac:dyDescent="0.3">
      <c r="P83" t="s">
        <v>41</v>
      </c>
      <c r="Q83" t="s">
        <v>36</v>
      </c>
      <c r="R83" t="s">
        <v>28</v>
      </c>
      <c r="S83" s="4">
        <v>854</v>
      </c>
      <c r="T83" s="5">
        <v>309</v>
      </c>
    </row>
    <row r="84" spans="16:20" x14ac:dyDescent="0.3">
      <c r="P84" t="s">
        <v>6</v>
      </c>
      <c r="Q84" t="s">
        <v>36</v>
      </c>
      <c r="R84" t="s">
        <v>17</v>
      </c>
      <c r="S84" s="4">
        <v>4970</v>
      </c>
      <c r="T84" s="5">
        <v>156</v>
      </c>
    </row>
    <row r="85" spans="16:20" x14ac:dyDescent="0.3">
      <c r="P85" t="s">
        <v>9</v>
      </c>
      <c r="Q85" t="s">
        <v>35</v>
      </c>
      <c r="R85" t="s">
        <v>26</v>
      </c>
      <c r="S85" s="4">
        <v>98</v>
      </c>
      <c r="T85" s="5">
        <v>159</v>
      </c>
    </row>
    <row r="86" spans="16:20" x14ac:dyDescent="0.3">
      <c r="P86" t="s">
        <v>5</v>
      </c>
      <c r="Q86" t="s">
        <v>35</v>
      </c>
      <c r="R86" t="s">
        <v>15</v>
      </c>
      <c r="S86" s="4">
        <v>13391</v>
      </c>
      <c r="T86" s="5">
        <v>201</v>
      </c>
    </row>
    <row r="87" spans="16:20" x14ac:dyDescent="0.3">
      <c r="P87" t="s">
        <v>8</v>
      </c>
      <c r="Q87" t="s">
        <v>39</v>
      </c>
      <c r="R87" t="s">
        <v>31</v>
      </c>
      <c r="S87" s="4">
        <v>8890</v>
      </c>
      <c r="T87" s="5">
        <v>210</v>
      </c>
    </row>
    <row r="88" spans="16:20" x14ac:dyDescent="0.3">
      <c r="P88" t="s">
        <v>2</v>
      </c>
      <c r="Q88" t="s">
        <v>38</v>
      </c>
      <c r="R88" t="s">
        <v>13</v>
      </c>
      <c r="S88" s="4">
        <v>56</v>
      </c>
      <c r="T88" s="5">
        <v>51</v>
      </c>
    </row>
    <row r="89" spans="16:20" x14ac:dyDescent="0.3">
      <c r="P89" t="s">
        <v>3</v>
      </c>
      <c r="Q89" t="s">
        <v>36</v>
      </c>
      <c r="R89" t="s">
        <v>25</v>
      </c>
      <c r="S89" s="4">
        <v>3339</v>
      </c>
      <c r="T89" s="5">
        <v>39</v>
      </c>
    </row>
    <row r="90" spans="16:20" x14ac:dyDescent="0.3">
      <c r="P90" t="s">
        <v>10</v>
      </c>
      <c r="Q90" t="s">
        <v>35</v>
      </c>
      <c r="R90" t="s">
        <v>18</v>
      </c>
      <c r="S90" s="4">
        <v>3808</v>
      </c>
      <c r="T90" s="5">
        <v>279</v>
      </c>
    </row>
    <row r="91" spans="16:20" x14ac:dyDescent="0.3">
      <c r="P91" t="s">
        <v>10</v>
      </c>
      <c r="Q91" t="s">
        <v>38</v>
      </c>
      <c r="R91" t="s">
        <v>13</v>
      </c>
      <c r="S91" s="4">
        <v>63</v>
      </c>
      <c r="T91" s="5">
        <v>123</v>
      </c>
    </row>
    <row r="92" spans="16:20" x14ac:dyDescent="0.3">
      <c r="P92" t="s">
        <v>2</v>
      </c>
      <c r="Q92" t="s">
        <v>39</v>
      </c>
      <c r="R92" t="s">
        <v>27</v>
      </c>
      <c r="S92" s="4">
        <v>7812</v>
      </c>
      <c r="T92" s="5">
        <v>81</v>
      </c>
    </row>
    <row r="93" spans="16:20" x14ac:dyDescent="0.3">
      <c r="P93" t="s">
        <v>40</v>
      </c>
      <c r="Q93" t="s">
        <v>37</v>
      </c>
      <c r="R93" t="s">
        <v>19</v>
      </c>
      <c r="S93" s="4">
        <v>7693</v>
      </c>
      <c r="T93" s="5">
        <v>21</v>
      </c>
    </row>
    <row r="94" spans="16:20" x14ac:dyDescent="0.3">
      <c r="P94" t="s">
        <v>3</v>
      </c>
      <c r="Q94" t="s">
        <v>36</v>
      </c>
      <c r="R94" t="s">
        <v>28</v>
      </c>
      <c r="S94" s="4">
        <v>973</v>
      </c>
      <c r="T94" s="5">
        <v>162</v>
      </c>
    </row>
    <row r="95" spans="16:20" x14ac:dyDescent="0.3">
      <c r="P95" t="s">
        <v>10</v>
      </c>
      <c r="Q95" t="s">
        <v>35</v>
      </c>
      <c r="R95" t="s">
        <v>21</v>
      </c>
      <c r="S95" s="4">
        <v>567</v>
      </c>
      <c r="T95" s="5">
        <v>228</v>
      </c>
    </row>
    <row r="96" spans="16:20" x14ac:dyDescent="0.3">
      <c r="P96" t="s">
        <v>10</v>
      </c>
      <c r="Q96" t="s">
        <v>36</v>
      </c>
      <c r="R96" t="s">
        <v>29</v>
      </c>
      <c r="S96" s="4">
        <v>2471</v>
      </c>
      <c r="T96" s="5">
        <v>342</v>
      </c>
    </row>
    <row r="97" spans="16:20" x14ac:dyDescent="0.3">
      <c r="P97" t="s">
        <v>5</v>
      </c>
      <c r="Q97" t="s">
        <v>38</v>
      </c>
      <c r="R97" t="s">
        <v>13</v>
      </c>
      <c r="S97" s="4">
        <v>7189</v>
      </c>
      <c r="T97" s="5">
        <v>54</v>
      </c>
    </row>
    <row r="98" spans="16:20" x14ac:dyDescent="0.3">
      <c r="P98" t="s">
        <v>41</v>
      </c>
      <c r="Q98" t="s">
        <v>35</v>
      </c>
      <c r="R98" t="s">
        <v>28</v>
      </c>
      <c r="S98" s="4">
        <v>7455</v>
      </c>
      <c r="T98" s="5">
        <v>216</v>
      </c>
    </row>
    <row r="99" spans="16:20" x14ac:dyDescent="0.3">
      <c r="P99" t="s">
        <v>3</v>
      </c>
      <c r="Q99" t="s">
        <v>34</v>
      </c>
      <c r="R99" t="s">
        <v>26</v>
      </c>
      <c r="S99" s="4">
        <v>3108</v>
      </c>
      <c r="T99" s="5">
        <v>54</v>
      </c>
    </row>
    <row r="100" spans="16:20" x14ac:dyDescent="0.3">
      <c r="P100" t="s">
        <v>6</v>
      </c>
      <c r="Q100" t="s">
        <v>38</v>
      </c>
      <c r="R100" t="s">
        <v>25</v>
      </c>
      <c r="S100" s="4">
        <v>469</v>
      </c>
      <c r="T100" s="5">
        <v>75</v>
      </c>
    </row>
    <row r="101" spans="16:20" x14ac:dyDescent="0.3">
      <c r="P101" t="s">
        <v>9</v>
      </c>
      <c r="Q101" t="s">
        <v>37</v>
      </c>
      <c r="R101" t="s">
        <v>23</v>
      </c>
      <c r="S101" s="4">
        <v>2737</v>
      </c>
      <c r="T101" s="5">
        <v>93</v>
      </c>
    </row>
    <row r="102" spans="16:20" x14ac:dyDescent="0.3">
      <c r="P102" t="s">
        <v>9</v>
      </c>
      <c r="Q102" t="s">
        <v>37</v>
      </c>
      <c r="R102" t="s">
        <v>25</v>
      </c>
      <c r="S102" s="4">
        <v>4305</v>
      </c>
      <c r="T102" s="5">
        <v>156</v>
      </c>
    </row>
    <row r="103" spans="16:20" x14ac:dyDescent="0.3">
      <c r="P103" t="s">
        <v>9</v>
      </c>
      <c r="Q103" t="s">
        <v>38</v>
      </c>
      <c r="R103" t="s">
        <v>17</v>
      </c>
      <c r="S103" s="4">
        <v>2408</v>
      </c>
      <c r="T103" s="5">
        <v>9</v>
      </c>
    </row>
    <row r="104" spans="16:20" x14ac:dyDescent="0.3">
      <c r="P104" t="s">
        <v>3</v>
      </c>
      <c r="Q104" t="s">
        <v>36</v>
      </c>
      <c r="R104" t="s">
        <v>19</v>
      </c>
      <c r="S104" s="4">
        <v>1281</v>
      </c>
      <c r="T104" s="5">
        <v>18</v>
      </c>
    </row>
    <row r="105" spans="16:20" x14ac:dyDescent="0.3">
      <c r="P105" t="s">
        <v>40</v>
      </c>
      <c r="Q105" t="s">
        <v>35</v>
      </c>
      <c r="R105" t="s">
        <v>32</v>
      </c>
      <c r="S105" s="4">
        <v>12348</v>
      </c>
      <c r="T105" s="5">
        <v>234</v>
      </c>
    </row>
    <row r="106" spans="16:20" x14ac:dyDescent="0.3">
      <c r="P106" t="s">
        <v>3</v>
      </c>
      <c r="Q106" t="s">
        <v>34</v>
      </c>
      <c r="R106" t="s">
        <v>28</v>
      </c>
      <c r="S106" s="4">
        <v>3689</v>
      </c>
      <c r="T106" s="5">
        <v>312</v>
      </c>
    </row>
    <row r="107" spans="16:20" x14ac:dyDescent="0.3">
      <c r="P107" t="s">
        <v>7</v>
      </c>
      <c r="Q107" t="s">
        <v>36</v>
      </c>
      <c r="R107" t="s">
        <v>19</v>
      </c>
      <c r="S107" s="4">
        <v>2870</v>
      </c>
      <c r="T107" s="5">
        <v>300</v>
      </c>
    </row>
    <row r="108" spans="16:20" x14ac:dyDescent="0.3">
      <c r="P108" t="s">
        <v>2</v>
      </c>
      <c r="Q108" t="s">
        <v>36</v>
      </c>
      <c r="R108" t="s">
        <v>27</v>
      </c>
      <c r="S108" s="4">
        <v>798</v>
      </c>
      <c r="T108" s="5">
        <v>519</v>
      </c>
    </row>
    <row r="109" spans="16:20" x14ac:dyDescent="0.3">
      <c r="P109" t="s">
        <v>41</v>
      </c>
      <c r="Q109" t="s">
        <v>37</v>
      </c>
      <c r="R109" t="s">
        <v>21</v>
      </c>
      <c r="S109" s="4">
        <v>2933</v>
      </c>
      <c r="T109" s="5">
        <v>9</v>
      </c>
    </row>
    <row r="110" spans="16:20" x14ac:dyDescent="0.3">
      <c r="P110" t="s">
        <v>5</v>
      </c>
      <c r="Q110" t="s">
        <v>35</v>
      </c>
      <c r="R110" t="s">
        <v>4</v>
      </c>
      <c r="S110" s="4">
        <v>2744</v>
      </c>
      <c r="T110" s="5">
        <v>9</v>
      </c>
    </row>
    <row r="111" spans="16:20" x14ac:dyDescent="0.3">
      <c r="P111" t="s">
        <v>40</v>
      </c>
      <c r="Q111" t="s">
        <v>36</v>
      </c>
      <c r="R111" t="s">
        <v>33</v>
      </c>
      <c r="S111" s="4">
        <v>9772</v>
      </c>
      <c r="T111" s="5">
        <v>90</v>
      </c>
    </row>
    <row r="112" spans="16:20" x14ac:dyDescent="0.3">
      <c r="P112" t="s">
        <v>7</v>
      </c>
      <c r="Q112" t="s">
        <v>34</v>
      </c>
      <c r="R112" t="s">
        <v>25</v>
      </c>
      <c r="S112" s="4">
        <v>1568</v>
      </c>
      <c r="T112" s="5">
        <v>96</v>
      </c>
    </row>
    <row r="113" spans="16:20" x14ac:dyDescent="0.3">
      <c r="P113" t="s">
        <v>2</v>
      </c>
      <c r="Q113" t="s">
        <v>36</v>
      </c>
      <c r="R113" t="s">
        <v>16</v>
      </c>
      <c r="S113" s="4">
        <v>11417</v>
      </c>
      <c r="T113" s="5">
        <v>21</v>
      </c>
    </row>
    <row r="114" spans="16:20" x14ac:dyDescent="0.3">
      <c r="P114" t="s">
        <v>40</v>
      </c>
      <c r="Q114" t="s">
        <v>34</v>
      </c>
      <c r="R114" t="s">
        <v>26</v>
      </c>
      <c r="S114" s="4">
        <v>6748</v>
      </c>
      <c r="T114" s="5">
        <v>48</v>
      </c>
    </row>
    <row r="115" spans="16:20" x14ac:dyDescent="0.3">
      <c r="P115" t="s">
        <v>10</v>
      </c>
      <c r="Q115" t="s">
        <v>36</v>
      </c>
      <c r="R115" t="s">
        <v>27</v>
      </c>
      <c r="S115" s="4">
        <v>1407</v>
      </c>
      <c r="T115" s="5">
        <v>72</v>
      </c>
    </row>
    <row r="116" spans="16:20" x14ac:dyDescent="0.3">
      <c r="P116" t="s">
        <v>8</v>
      </c>
      <c r="Q116" t="s">
        <v>35</v>
      </c>
      <c r="R116" t="s">
        <v>29</v>
      </c>
      <c r="S116" s="4">
        <v>2023</v>
      </c>
      <c r="T116" s="5">
        <v>168</v>
      </c>
    </row>
    <row r="117" spans="16:20" x14ac:dyDescent="0.3">
      <c r="P117" t="s">
        <v>5</v>
      </c>
      <c r="Q117" t="s">
        <v>39</v>
      </c>
      <c r="R117" t="s">
        <v>26</v>
      </c>
      <c r="S117" s="4">
        <v>5236</v>
      </c>
      <c r="T117" s="5">
        <v>51</v>
      </c>
    </row>
    <row r="118" spans="16:20" x14ac:dyDescent="0.3">
      <c r="P118" t="s">
        <v>41</v>
      </c>
      <c r="Q118" t="s">
        <v>36</v>
      </c>
      <c r="R118" t="s">
        <v>19</v>
      </c>
      <c r="S118" s="4">
        <v>1925</v>
      </c>
      <c r="T118" s="5">
        <v>192</v>
      </c>
    </row>
    <row r="119" spans="16:20" x14ac:dyDescent="0.3">
      <c r="P119" t="s">
        <v>7</v>
      </c>
      <c r="Q119" t="s">
        <v>37</v>
      </c>
      <c r="R119" t="s">
        <v>14</v>
      </c>
      <c r="S119" s="4">
        <v>6608</v>
      </c>
      <c r="T119" s="5">
        <v>225</v>
      </c>
    </row>
    <row r="120" spans="16:20" x14ac:dyDescent="0.3">
      <c r="P120" t="s">
        <v>6</v>
      </c>
      <c r="Q120" t="s">
        <v>34</v>
      </c>
      <c r="R120" t="s">
        <v>26</v>
      </c>
      <c r="S120" s="4">
        <v>8008</v>
      </c>
      <c r="T120" s="5">
        <v>456</v>
      </c>
    </row>
    <row r="121" spans="16:20" x14ac:dyDescent="0.3">
      <c r="P121" t="s">
        <v>10</v>
      </c>
      <c r="Q121" t="s">
        <v>34</v>
      </c>
      <c r="R121" t="s">
        <v>25</v>
      </c>
      <c r="S121" s="4">
        <v>1428</v>
      </c>
      <c r="T121" s="5">
        <v>93</v>
      </c>
    </row>
    <row r="122" spans="16:20" x14ac:dyDescent="0.3">
      <c r="P122" t="s">
        <v>6</v>
      </c>
      <c r="Q122" t="s">
        <v>34</v>
      </c>
      <c r="R122" t="s">
        <v>4</v>
      </c>
      <c r="S122" s="4">
        <v>525</v>
      </c>
      <c r="T122" s="5">
        <v>48</v>
      </c>
    </row>
    <row r="123" spans="16:20" x14ac:dyDescent="0.3">
      <c r="P123" t="s">
        <v>6</v>
      </c>
      <c r="Q123" t="s">
        <v>37</v>
      </c>
      <c r="R123" t="s">
        <v>18</v>
      </c>
      <c r="S123" s="4">
        <v>1505</v>
      </c>
      <c r="T123" s="5">
        <v>102</v>
      </c>
    </row>
    <row r="124" spans="16:20" x14ac:dyDescent="0.3">
      <c r="P124" t="s">
        <v>7</v>
      </c>
      <c r="Q124" t="s">
        <v>35</v>
      </c>
      <c r="R124" t="s">
        <v>30</v>
      </c>
      <c r="S124" s="4">
        <v>6755</v>
      </c>
      <c r="T124" s="5">
        <v>252</v>
      </c>
    </row>
    <row r="125" spans="16:20" x14ac:dyDescent="0.3">
      <c r="P125" t="s">
        <v>2</v>
      </c>
      <c r="Q125" t="s">
        <v>37</v>
      </c>
      <c r="R125" t="s">
        <v>18</v>
      </c>
      <c r="S125" s="4">
        <v>11571</v>
      </c>
      <c r="T125" s="5">
        <v>138</v>
      </c>
    </row>
    <row r="126" spans="16:20" x14ac:dyDescent="0.3">
      <c r="P126" t="s">
        <v>40</v>
      </c>
      <c r="Q126" t="s">
        <v>38</v>
      </c>
      <c r="R126" t="s">
        <v>25</v>
      </c>
      <c r="S126" s="4">
        <v>2541</v>
      </c>
      <c r="T126" s="5">
        <v>90</v>
      </c>
    </row>
    <row r="127" spans="16:20" x14ac:dyDescent="0.3">
      <c r="P127" t="s">
        <v>41</v>
      </c>
      <c r="Q127" t="s">
        <v>37</v>
      </c>
      <c r="R127" t="s">
        <v>30</v>
      </c>
      <c r="S127" s="4">
        <v>1526</v>
      </c>
      <c r="T127" s="5">
        <v>240</v>
      </c>
    </row>
    <row r="128" spans="16:20" x14ac:dyDescent="0.3">
      <c r="P128" t="s">
        <v>40</v>
      </c>
      <c r="Q128" t="s">
        <v>38</v>
      </c>
      <c r="R128" t="s">
        <v>4</v>
      </c>
      <c r="S128" s="4">
        <v>6125</v>
      </c>
      <c r="T128" s="5">
        <v>102</v>
      </c>
    </row>
    <row r="129" spans="16:20" x14ac:dyDescent="0.3">
      <c r="P129" t="s">
        <v>41</v>
      </c>
      <c r="Q129" t="s">
        <v>35</v>
      </c>
      <c r="R129" t="s">
        <v>27</v>
      </c>
      <c r="S129" s="4">
        <v>847</v>
      </c>
      <c r="T129" s="5">
        <v>129</v>
      </c>
    </row>
    <row r="130" spans="16:20" x14ac:dyDescent="0.3">
      <c r="P130" t="s">
        <v>8</v>
      </c>
      <c r="Q130" t="s">
        <v>35</v>
      </c>
      <c r="R130" t="s">
        <v>27</v>
      </c>
      <c r="S130" s="4">
        <v>4753</v>
      </c>
      <c r="T130" s="5">
        <v>300</v>
      </c>
    </row>
    <row r="131" spans="16:20" x14ac:dyDescent="0.3">
      <c r="P131" t="s">
        <v>6</v>
      </c>
      <c r="Q131" t="s">
        <v>38</v>
      </c>
      <c r="R131" t="s">
        <v>33</v>
      </c>
      <c r="S131" s="4">
        <v>959</v>
      </c>
      <c r="T131" s="5">
        <v>135</v>
      </c>
    </row>
    <row r="132" spans="16:20" x14ac:dyDescent="0.3">
      <c r="P132" t="s">
        <v>7</v>
      </c>
      <c r="Q132" t="s">
        <v>35</v>
      </c>
      <c r="R132" t="s">
        <v>24</v>
      </c>
      <c r="S132" s="4">
        <v>2793</v>
      </c>
      <c r="T132" s="5">
        <v>114</v>
      </c>
    </row>
    <row r="133" spans="16:20" x14ac:dyDescent="0.3">
      <c r="P133" t="s">
        <v>7</v>
      </c>
      <c r="Q133" t="s">
        <v>35</v>
      </c>
      <c r="R133" t="s">
        <v>14</v>
      </c>
      <c r="S133" s="4">
        <v>4606</v>
      </c>
      <c r="T133" s="5">
        <v>63</v>
      </c>
    </row>
    <row r="134" spans="16:20" x14ac:dyDescent="0.3">
      <c r="P134" t="s">
        <v>7</v>
      </c>
      <c r="Q134" t="s">
        <v>36</v>
      </c>
      <c r="R134" t="s">
        <v>29</v>
      </c>
      <c r="S134" s="4">
        <v>5551</v>
      </c>
      <c r="T134" s="5">
        <v>252</v>
      </c>
    </row>
    <row r="135" spans="16:20" x14ac:dyDescent="0.3">
      <c r="P135" t="s">
        <v>10</v>
      </c>
      <c r="Q135" t="s">
        <v>36</v>
      </c>
      <c r="R135" t="s">
        <v>32</v>
      </c>
      <c r="S135" s="4">
        <v>6657</v>
      </c>
      <c r="T135" s="5">
        <v>303</v>
      </c>
    </row>
    <row r="136" spans="16:20" x14ac:dyDescent="0.3">
      <c r="P136" t="s">
        <v>7</v>
      </c>
      <c r="Q136" t="s">
        <v>39</v>
      </c>
      <c r="R136" t="s">
        <v>17</v>
      </c>
      <c r="S136" s="4">
        <v>4438</v>
      </c>
      <c r="T136" s="5">
        <v>246</v>
      </c>
    </row>
    <row r="137" spans="16:20" x14ac:dyDescent="0.3">
      <c r="P137" t="s">
        <v>8</v>
      </c>
      <c r="Q137" t="s">
        <v>38</v>
      </c>
      <c r="R137" t="s">
        <v>22</v>
      </c>
      <c r="S137" s="4">
        <v>168</v>
      </c>
      <c r="T137" s="5">
        <v>84</v>
      </c>
    </row>
    <row r="138" spans="16:20" x14ac:dyDescent="0.3">
      <c r="P138" t="s">
        <v>7</v>
      </c>
      <c r="Q138" t="s">
        <v>34</v>
      </c>
      <c r="R138" t="s">
        <v>17</v>
      </c>
      <c r="S138" s="4">
        <v>7777</v>
      </c>
      <c r="T138" s="5">
        <v>39</v>
      </c>
    </row>
    <row r="139" spans="16:20" x14ac:dyDescent="0.3">
      <c r="P139" t="s">
        <v>5</v>
      </c>
      <c r="Q139" t="s">
        <v>36</v>
      </c>
      <c r="R139" t="s">
        <v>17</v>
      </c>
      <c r="S139" s="4">
        <v>3339</v>
      </c>
      <c r="T139" s="5">
        <v>348</v>
      </c>
    </row>
    <row r="140" spans="16:20" x14ac:dyDescent="0.3">
      <c r="P140" t="s">
        <v>7</v>
      </c>
      <c r="Q140" t="s">
        <v>37</v>
      </c>
      <c r="R140" t="s">
        <v>33</v>
      </c>
      <c r="S140" s="4">
        <v>6391</v>
      </c>
      <c r="T140" s="5">
        <v>48</v>
      </c>
    </row>
    <row r="141" spans="16:20" x14ac:dyDescent="0.3">
      <c r="P141" t="s">
        <v>5</v>
      </c>
      <c r="Q141" t="s">
        <v>37</v>
      </c>
      <c r="R141" t="s">
        <v>22</v>
      </c>
      <c r="S141" s="4">
        <v>518</v>
      </c>
      <c r="T141" s="5">
        <v>75</v>
      </c>
    </row>
    <row r="142" spans="16:20" x14ac:dyDescent="0.3">
      <c r="P142" t="s">
        <v>7</v>
      </c>
      <c r="Q142" t="s">
        <v>38</v>
      </c>
      <c r="R142" t="s">
        <v>28</v>
      </c>
      <c r="S142" s="4">
        <v>5677</v>
      </c>
      <c r="T142" s="5">
        <v>258</v>
      </c>
    </row>
    <row r="143" spans="16:20" x14ac:dyDescent="0.3">
      <c r="P143" t="s">
        <v>6</v>
      </c>
      <c r="Q143" t="s">
        <v>39</v>
      </c>
      <c r="R143" t="s">
        <v>17</v>
      </c>
      <c r="S143" s="4">
        <v>6048</v>
      </c>
      <c r="T143" s="5">
        <v>27</v>
      </c>
    </row>
    <row r="144" spans="16:20" x14ac:dyDescent="0.3">
      <c r="P144" t="s">
        <v>8</v>
      </c>
      <c r="Q144" t="s">
        <v>38</v>
      </c>
      <c r="R144" t="s">
        <v>32</v>
      </c>
      <c r="S144" s="4">
        <v>3752</v>
      </c>
      <c r="T144" s="5">
        <v>213</v>
      </c>
    </row>
    <row r="145" spans="16:20" x14ac:dyDescent="0.3">
      <c r="P145" t="s">
        <v>5</v>
      </c>
      <c r="Q145" t="s">
        <v>35</v>
      </c>
      <c r="R145" t="s">
        <v>29</v>
      </c>
      <c r="S145" s="4">
        <v>4480</v>
      </c>
      <c r="T145" s="5">
        <v>357</v>
      </c>
    </row>
    <row r="146" spans="16:20" x14ac:dyDescent="0.3">
      <c r="P146" t="s">
        <v>9</v>
      </c>
      <c r="Q146" t="s">
        <v>37</v>
      </c>
      <c r="R146" t="s">
        <v>4</v>
      </c>
      <c r="S146" s="4">
        <v>259</v>
      </c>
      <c r="T146" s="5">
        <v>207</v>
      </c>
    </row>
    <row r="147" spans="16:20" x14ac:dyDescent="0.3">
      <c r="P147" t="s">
        <v>8</v>
      </c>
      <c r="Q147" t="s">
        <v>37</v>
      </c>
      <c r="R147" t="s">
        <v>30</v>
      </c>
      <c r="S147" s="4">
        <v>42</v>
      </c>
      <c r="T147" s="5">
        <v>150</v>
      </c>
    </row>
    <row r="148" spans="16:20" x14ac:dyDescent="0.3">
      <c r="P148" t="s">
        <v>41</v>
      </c>
      <c r="Q148" t="s">
        <v>36</v>
      </c>
      <c r="R148" t="s">
        <v>26</v>
      </c>
      <c r="S148" s="4">
        <v>98</v>
      </c>
      <c r="T148" s="5">
        <v>204</v>
      </c>
    </row>
    <row r="149" spans="16:20" x14ac:dyDescent="0.3">
      <c r="P149" t="s">
        <v>7</v>
      </c>
      <c r="Q149" t="s">
        <v>35</v>
      </c>
      <c r="R149" t="s">
        <v>27</v>
      </c>
      <c r="S149" s="4">
        <v>2478</v>
      </c>
      <c r="T149" s="5">
        <v>21</v>
      </c>
    </row>
    <row r="150" spans="16:20" x14ac:dyDescent="0.3">
      <c r="P150" t="s">
        <v>41</v>
      </c>
      <c r="Q150" t="s">
        <v>34</v>
      </c>
      <c r="R150" t="s">
        <v>33</v>
      </c>
      <c r="S150" s="4">
        <v>7847</v>
      </c>
      <c r="T150" s="5">
        <v>174</v>
      </c>
    </row>
    <row r="151" spans="16:20" x14ac:dyDescent="0.3">
      <c r="P151" t="s">
        <v>2</v>
      </c>
      <c r="Q151" t="s">
        <v>37</v>
      </c>
      <c r="R151" t="s">
        <v>17</v>
      </c>
      <c r="S151" s="4">
        <v>9926</v>
      </c>
      <c r="T151" s="5">
        <v>201</v>
      </c>
    </row>
    <row r="152" spans="16:20" x14ac:dyDescent="0.3">
      <c r="P152" t="s">
        <v>8</v>
      </c>
      <c r="Q152" t="s">
        <v>38</v>
      </c>
      <c r="R152" t="s">
        <v>13</v>
      </c>
      <c r="S152" s="4">
        <v>819</v>
      </c>
      <c r="T152" s="5">
        <v>510</v>
      </c>
    </row>
    <row r="153" spans="16:20" x14ac:dyDescent="0.3">
      <c r="P153" t="s">
        <v>6</v>
      </c>
      <c r="Q153" t="s">
        <v>39</v>
      </c>
      <c r="R153" t="s">
        <v>29</v>
      </c>
      <c r="S153" s="4">
        <v>3052</v>
      </c>
      <c r="T153" s="5">
        <v>378</v>
      </c>
    </row>
    <row r="154" spans="16:20" x14ac:dyDescent="0.3">
      <c r="P154" t="s">
        <v>9</v>
      </c>
      <c r="Q154" t="s">
        <v>34</v>
      </c>
      <c r="R154" t="s">
        <v>21</v>
      </c>
      <c r="S154" s="4">
        <v>6832</v>
      </c>
      <c r="T154" s="5">
        <v>27</v>
      </c>
    </row>
    <row r="155" spans="16:20" x14ac:dyDescent="0.3">
      <c r="P155" t="s">
        <v>2</v>
      </c>
      <c r="Q155" t="s">
        <v>39</v>
      </c>
      <c r="R155" t="s">
        <v>16</v>
      </c>
      <c r="S155" s="4">
        <v>2016</v>
      </c>
      <c r="T155" s="5">
        <v>117</v>
      </c>
    </row>
    <row r="156" spans="16:20" x14ac:dyDescent="0.3">
      <c r="P156" t="s">
        <v>6</v>
      </c>
      <c r="Q156" t="s">
        <v>38</v>
      </c>
      <c r="R156" t="s">
        <v>21</v>
      </c>
      <c r="S156" s="4">
        <v>7322</v>
      </c>
      <c r="T156" s="5">
        <v>36</v>
      </c>
    </row>
    <row r="157" spans="16:20" x14ac:dyDescent="0.3">
      <c r="P157" t="s">
        <v>8</v>
      </c>
      <c r="Q157" t="s">
        <v>35</v>
      </c>
      <c r="R157" t="s">
        <v>33</v>
      </c>
      <c r="S157" s="4">
        <v>357</v>
      </c>
      <c r="T157" s="5">
        <v>126</v>
      </c>
    </row>
    <row r="158" spans="16:20" x14ac:dyDescent="0.3">
      <c r="P158" t="s">
        <v>9</v>
      </c>
      <c r="Q158" t="s">
        <v>39</v>
      </c>
      <c r="R158" t="s">
        <v>25</v>
      </c>
      <c r="S158" s="4">
        <v>3192</v>
      </c>
      <c r="T158" s="5">
        <v>72</v>
      </c>
    </row>
    <row r="159" spans="16:20" x14ac:dyDescent="0.3">
      <c r="P159" t="s">
        <v>7</v>
      </c>
      <c r="Q159" t="s">
        <v>36</v>
      </c>
      <c r="R159" t="s">
        <v>22</v>
      </c>
      <c r="S159" s="4">
        <v>8435</v>
      </c>
      <c r="T159" s="5">
        <v>42</v>
      </c>
    </row>
    <row r="160" spans="16:20" x14ac:dyDescent="0.3">
      <c r="P160" t="s">
        <v>40</v>
      </c>
      <c r="Q160" t="s">
        <v>39</v>
      </c>
      <c r="R160" t="s">
        <v>29</v>
      </c>
      <c r="S160" s="4">
        <v>0</v>
      </c>
      <c r="T160" s="5">
        <v>135</v>
      </c>
    </row>
    <row r="161" spans="16:20" x14ac:dyDescent="0.3">
      <c r="P161" t="s">
        <v>7</v>
      </c>
      <c r="Q161" t="s">
        <v>34</v>
      </c>
      <c r="R161" t="s">
        <v>24</v>
      </c>
      <c r="S161" s="4">
        <v>8862</v>
      </c>
      <c r="T161" s="5">
        <v>189</v>
      </c>
    </row>
    <row r="162" spans="16:20" x14ac:dyDescent="0.3">
      <c r="P162" t="s">
        <v>6</v>
      </c>
      <c r="Q162" t="s">
        <v>37</v>
      </c>
      <c r="R162" t="s">
        <v>28</v>
      </c>
      <c r="S162" s="4">
        <v>3556</v>
      </c>
      <c r="T162" s="5">
        <v>459</v>
      </c>
    </row>
    <row r="163" spans="16:20" x14ac:dyDescent="0.3">
      <c r="P163" t="s">
        <v>5</v>
      </c>
      <c r="Q163" t="s">
        <v>34</v>
      </c>
      <c r="R163" t="s">
        <v>15</v>
      </c>
      <c r="S163" s="4">
        <v>7280</v>
      </c>
      <c r="T163" s="5">
        <v>201</v>
      </c>
    </row>
    <row r="164" spans="16:20" x14ac:dyDescent="0.3">
      <c r="P164" t="s">
        <v>6</v>
      </c>
      <c r="Q164" t="s">
        <v>34</v>
      </c>
      <c r="R164" t="s">
        <v>30</v>
      </c>
      <c r="S164" s="4">
        <v>3402</v>
      </c>
      <c r="T164" s="5">
        <v>366</v>
      </c>
    </row>
    <row r="165" spans="16:20" x14ac:dyDescent="0.3">
      <c r="P165" t="s">
        <v>3</v>
      </c>
      <c r="Q165" t="s">
        <v>37</v>
      </c>
      <c r="R165" t="s">
        <v>29</v>
      </c>
      <c r="S165" s="4">
        <v>4592</v>
      </c>
      <c r="T165" s="5">
        <v>324</v>
      </c>
    </row>
    <row r="166" spans="16:20" x14ac:dyDescent="0.3">
      <c r="P166" t="s">
        <v>9</v>
      </c>
      <c r="Q166" t="s">
        <v>35</v>
      </c>
      <c r="R166" t="s">
        <v>15</v>
      </c>
      <c r="S166" s="4">
        <v>7833</v>
      </c>
      <c r="T166" s="5">
        <v>243</v>
      </c>
    </row>
    <row r="167" spans="16:20" x14ac:dyDescent="0.3">
      <c r="P167" t="s">
        <v>2</v>
      </c>
      <c r="Q167" t="s">
        <v>39</v>
      </c>
      <c r="R167" t="s">
        <v>21</v>
      </c>
      <c r="S167" s="4">
        <v>7651</v>
      </c>
      <c r="T167" s="5">
        <v>213</v>
      </c>
    </row>
    <row r="168" spans="16:20" x14ac:dyDescent="0.3">
      <c r="P168" t="s">
        <v>40</v>
      </c>
      <c r="Q168" t="s">
        <v>35</v>
      </c>
      <c r="R168" t="s">
        <v>30</v>
      </c>
      <c r="S168" s="4">
        <v>2275</v>
      </c>
      <c r="T168" s="5">
        <v>447</v>
      </c>
    </row>
    <row r="169" spans="16:20" x14ac:dyDescent="0.3">
      <c r="P169" t="s">
        <v>40</v>
      </c>
      <c r="Q169" t="s">
        <v>38</v>
      </c>
      <c r="R169" t="s">
        <v>13</v>
      </c>
      <c r="S169" s="4">
        <v>5670</v>
      </c>
      <c r="T169" s="5">
        <v>297</v>
      </c>
    </row>
    <row r="170" spans="16:20" x14ac:dyDescent="0.3">
      <c r="P170" t="s">
        <v>7</v>
      </c>
      <c r="Q170" t="s">
        <v>35</v>
      </c>
      <c r="R170" t="s">
        <v>16</v>
      </c>
      <c r="S170" s="4">
        <v>2135</v>
      </c>
      <c r="T170" s="5">
        <v>27</v>
      </c>
    </row>
    <row r="171" spans="16:20" x14ac:dyDescent="0.3">
      <c r="P171" t="s">
        <v>40</v>
      </c>
      <c r="Q171" t="s">
        <v>34</v>
      </c>
      <c r="R171" t="s">
        <v>23</v>
      </c>
      <c r="S171" s="4">
        <v>2779</v>
      </c>
      <c r="T171" s="5">
        <v>75</v>
      </c>
    </row>
    <row r="172" spans="16:20" x14ac:dyDescent="0.3">
      <c r="P172" t="s">
        <v>10</v>
      </c>
      <c r="Q172" t="s">
        <v>39</v>
      </c>
      <c r="R172" t="s">
        <v>33</v>
      </c>
      <c r="S172" s="4">
        <v>12950</v>
      </c>
      <c r="T172" s="5">
        <v>30</v>
      </c>
    </row>
    <row r="173" spans="16:20" x14ac:dyDescent="0.3">
      <c r="P173" t="s">
        <v>7</v>
      </c>
      <c r="Q173" t="s">
        <v>36</v>
      </c>
      <c r="R173" t="s">
        <v>18</v>
      </c>
      <c r="S173" s="4">
        <v>2646</v>
      </c>
      <c r="T173" s="5">
        <v>177</v>
      </c>
    </row>
    <row r="174" spans="16:20" x14ac:dyDescent="0.3">
      <c r="P174" t="s">
        <v>40</v>
      </c>
      <c r="Q174" t="s">
        <v>34</v>
      </c>
      <c r="R174" t="s">
        <v>33</v>
      </c>
      <c r="S174" s="4">
        <v>3794</v>
      </c>
      <c r="T174" s="5">
        <v>159</v>
      </c>
    </row>
    <row r="175" spans="16:20" x14ac:dyDescent="0.3">
      <c r="P175" t="s">
        <v>3</v>
      </c>
      <c r="Q175" t="s">
        <v>35</v>
      </c>
      <c r="R175" t="s">
        <v>33</v>
      </c>
      <c r="S175" s="4">
        <v>819</v>
      </c>
      <c r="T175" s="5">
        <v>306</v>
      </c>
    </row>
    <row r="176" spans="16:20" x14ac:dyDescent="0.3">
      <c r="P176" t="s">
        <v>3</v>
      </c>
      <c r="Q176" t="s">
        <v>34</v>
      </c>
      <c r="R176" t="s">
        <v>20</v>
      </c>
      <c r="S176" s="4">
        <v>2583</v>
      </c>
      <c r="T176" s="5">
        <v>18</v>
      </c>
    </row>
    <row r="177" spans="16:20" x14ac:dyDescent="0.3">
      <c r="P177" t="s">
        <v>7</v>
      </c>
      <c r="Q177" t="s">
        <v>35</v>
      </c>
      <c r="R177" t="s">
        <v>19</v>
      </c>
      <c r="S177" s="4">
        <v>4585</v>
      </c>
      <c r="T177" s="5">
        <v>240</v>
      </c>
    </row>
    <row r="178" spans="16:20" x14ac:dyDescent="0.3">
      <c r="P178" t="s">
        <v>5</v>
      </c>
      <c r="Q178" t="s">
        <v>34</v>
      </c>
      <c r="R178" t="s">
        <v>33</v>
      </c>
      <c r="S178" s="4">
        <v>1652</v>
      </c>
      <c r="T178" s="5">
        <v>93</v>
      </c>
    </row>
    <row r="179" spans="16:20" x14ac:dyDescent="0.3">
      <c r="P179" t="s">
        <v>10</v>
      </c>
      <c r="Q179" t="s">
        <v>34</v>
      </c>
      <c r="R179" t="s">
        <v>26</v>
      </c>
      <c r="S179" s="4">
        <v>4991</v>
      </c>
      <c r="T179" s="5">
        <v>9</v>
      </c>
    </row>
    <row r="180" spans="16:20" x14ac:dyDescent="0.3">
      <c r="P180" t="s">
        <v>8</v>
      </c>
      <c r="Q180" t="s">
        <v>34</v>
      </c>
      <c r="R180" t="s">
        <v>16</v>
      </c>
      <c r="S180" s="4">
        <v>2009</v>
      </c>
      <c r="T180" s="5">
        <v>219</v>
      </c>
    </row>
    <row r="181" spans="16:20" x14ac:dyDescent="0.3">
      <c r="P181" t="s">
        <v>2</v>
      </c>
      <c r="Q181" t="s">
        <v>39</v>
      </c>
      <c r="R181" t="s">
        <v>22</v>
      </c>
      <c r="S181" s="4">
        <v>1568</v>
      </c>
      <c r="T181" s="5">
        <v>141</v>
      </c>
    </row>
    <row r="182" spans="16:20" x14ac:dyDescent="0.3">
      <c r="P182" t="s">
        <v>41</v>
      </c>
      <c r="Q182" t="s">
        <v>37</v>
      </c>
      <c r="R182" t="s">
        <v>20</v>
      </c>
      <c r="S182" s="4">
        <v>3388</v>
      </c>
      <c r="T182" s="5">
        <v>123</v>
      </c>
    </row>
    <row r="183" spans="16:20" x14ac:dyDescent="0.3">
      <c r="P183" t="s">
        <v>40</v>
      </c>
      <c r="Q183" t="s">
        <v>38</v>
      </c>
      <c r="R183" t="s">
        <v>24</v>
      </c>
      <c r="S183" s="4">
        <v>623</v>
      </c>
      <c r="T183" s="5">
        <v>51</v>
      </c>
    </row>
    <row r="184" spans="16:20" x14ac:dyDescent="0.3">
      <c r="P184" t="s">
        <v>6</v>
      </c>
      <c r="Q184" t="s">
        <v>36</v>
      </c>
      <c r="R184" t="s">
        <v>4</v>
      </c>
      <c r="S184" s="4">
        <v>10073</v>
      </c>
      <c r="T184" s="5">
        <v>120</v>
      </c>
    </row>
    <row r="185" spans="16:20" x14ac:dyDescent="0.3">
      <c r="P185" t="s">
        <v>8</v>
      </c>
      <c r="Q185" t="s">
        <v>39</v>
      </c>
      <c r="R185" t="s">
        <v>26</v>
      </c>
      <c r="S185" s="4">
        <v>1561</v>
      </c>
      <c r="T185" s="5">
        <v>27</v>
      </c>
    </row>
    <row r="186" spans="16:20" x14ac:dyDescent="0.3">
      <c r="P186" t="s">
        <v>9</v>
      </c>
      <c r="Q186" t="s">
        <v>36</v>
      </c>
      <c r="R186" t="s">
        <v>27</v>
      </c>
      <c r="S186" s="4">
        <v>11522</v>
      </c>
      <c r="T186" s="5">
        <v>204</v>
      </c>
    </row>
    <row r="187" spans="16:20" x14ac:dyDescent="0.3">
      <c r="P187" t="s">
        <v>6</v>
      </c>
      <c r="Q187" t="s">
        <v>38</v>
      </c>
      <c r="R187" t="s">
        <v>13</v>
      </c>
      <c r="S187" s="4">
        <v>2317</v>
      </c>
      <c r="T187" s="5">
        <v>123</v>
      </c>
    </row>
    <row r="188" spans="16:20" x14ac:dyDescent="0.3">
      <c r="P188" t="s">
        <v>10</v>
      </c>
      <c r="Q188" t="s">
        <v>37</v>
      </c>
      <c r="R188" t="s">
        <v>28</v>
      </c>
      <c r="S188" s="4">
        <v>3059</v>
      </c>
      <c r="T188" s="5">
        <v>27</v>
      </c>
    </row>
    <row r="189" spans="16:20" x14ac:dyDescent="0.3">
      <c r="P189" t="s">
        <v>41</v>
      </c>
      <c r="Q189" t="s">
        <v>37</v>
      </c>
      <c r="R189" t="s">
        <v>26</v>
      </c>
      <c r="S189" s="4">
        <v>2324</v>
      </c>
      <c r="T189" s="5">
        <v>177</v>
      </c>
    </row>
    <row r="190" spans="16:20" x14ac:dyDescent="0.3">
      <c r="P190" t="s">
        <v>3</v>
      </c>
      <c r="Q190" t="s">
        <v>39</v>
      </c>
      <c r="R190" t="s">
        <v>26</v>
      </c>
      <c r="S190" s="4">
        <v>4956</v>
      </c>
      <c r="T190" s="5">
        <v>171</v>
      </c>
    </row>
    <row r="191" spans="16:20" x14ac:dyDescent="0.3">
      <c r="P191" t="s">
        <v>10</v>
      </c>
      <c r="Q191" t="s">
        <v>34</v>
      </c>
      <c r="R191" t="s">
        <v>19</v>
      </c>
      <c r="S191" s="4">
        <v>5355</v>
      </c>
      <c r="T191" s="5">
        <v>204</v>
      </c>
    </row>
    <row r="192" spans="16:20" x14ac:dyDescent="0.3">
      <c r="P192" t="s">
        <v>3</v>
      </c>
      <c r="Q192" t="s">
        <v>34</v>
      </c>
      <c r="R192" t="s">
        <v>14</v>
      </c>
      <c r="S192" s="4">
        <v>7259</v>
      </c>
      <c r="T192" s="5">
        <v>276</v>
      </c>
    </row>
    <row r="193" spans="16:20" x14ac:dyDescent="0.3">
      <c r="P193" t="s">
        <v>8</v>
      </c>
      <c r="Q193" t="s">
        <v>37</v>
      </c>
      <c r="R193" t="s">
        <v>26</v>
      </c>
      <c r="S193" s="4">
        <v>6279</v>
      </c>
      <c r="T193" s="5">
        <v>45</v>
      </c>
    </row>
    <row r="194" spans="16:20" x14ac:dyDescent="0.3">
      <c r="P194" t="s">
        <v>40</v>
      </c>
      <c r="Q194" t="s">
        <v>38</v>
      </c>
      <c r="R194" t="s">
        <v>29</v>
      </c>
      <c r="S194" s="4">
        <v>2541</v>
      </c>
      <c r="T194" s="5">
        <v>45</v>
      </c>
    </row>
    <row r="195" spans="16:20" x14ac:dyDescent="0.3">
      <c r="P195" t="s">
        <v>6</v>
      </c>
      <c r="Q195" t="s">
        <v>35</v>
      </c>
      <c r="R195" t="s">
        <v>27</v>
      </c>
      <c r="S195" s="4">
        <v>3864</v>
      </c>
      <c r="T195" s="5">
        <v>177</v>
      </c>
    </row>
    <row r="196" spans="16:20" x14ac:dyDescent="0.3">
      <c r="P196" t="s">
        <v>5</v>
      </c>
      <c r="Q196" t="s">
        <v>36</v>
      </c>
      <c r="R196" t="s">
        <v>13</v>
      </c>
      <c r="S196" s="4">
        <v>6146</v>
      </c>
      <c r="T196" s="5">
        <v>63</v>
      </c>
    </row>
    <row r="197" spans="16:20" x14ac:dyDescent="0.3">
      <c r="P197" t="s">
        <v>9</v>
      </c>
      <c r="Q197" t="s">
        <v>39</v>
      </c>
      <c r="R197" t="s">
        <v>18</v>
      </c>
      <c r="S197" s="4">
        <v>2639</v>
      </c>
      <c r="T197" s="5">
        <v>204</v>
      </c>
    </row>
    <row r="198" spans="16:20" x14ac:dyDescent="0.3">
      <c r="P198" t="s">
        <v>8</v>
      </c>
      <c r="Q198" t="s">
        <v>37</v>
      </c>
      <c r="R198" t="s">
        <v>22</v>
      </c>
      <c r="S198" s="4">
        <v>1890</v>
      </c>
      <c r="T198" s="5">
        <v>195</v>
      </c>
    </row>
    <row r="199" spans="16:20" x14ac:dyDescent="0.3">
      <c r="P199" t="s">
        <v>7</v>
      </c>
      <c r="Q199" t="s">
        <v>34</v>
      </c>
      <c r="R199" t="s">
        <v>14</v>
      </c>
      <c r="S199" s="4">
        <v>1932</v>
      </c>
      <c r="T199" s="5">
        <v>369</v>
      </c>
    </row>
    <row r="200" spans="16:20" x14ac:dyDescent="0.3">
      <c r="P200" t="s">
        <v>3</v>
      </c>
      <c r="Q200" t="s">
        <v>34</v>
      </c>
      <c r="R200" t="s">
        <v>25</v>
      </c>
      <c r="S200" s="4">
        <v>6300</v>
      </c>
      <c r="T200" s="5">
        <v>42</v>
      </c>
    </row>
    <row r="201" spans="16:20" x14ac:dyDescent="0.3">
      <c r="P201" t="s">
        <v>6</v>
      </c>
      <c r="Q201" t="s">
        <v>37</v>
      </c>
      <c r="R201" t="s">
        <v>30</v>
      </c>
      <c r="S201" s="4">
        <v>560</v>
      </c>
      <c r="T201" s="5">
        <v>81</v>
      </c>
    </row>
    <row r="202" spans="16:20" x14ac:dyDescent="0.3">
      <c r="P202" t="s">
        <v>9</v>
      </c>
      <c r="Q202" t="s">
        <v>37</v>
      </c>
      <c r="R202" t="s">
        <v>26</v>
      </c>
      <c r="S202" s="4">
        <v>2856</v>
      </c>
      <c r="T202" s="5">
        <v>246</v>
      </c>
    </row>
    <row r="203" spans="16:20" x14ac:dyDescent="0.3">
      <c r="P203" t="s">
        <v>9</v>
      </c>
      <c r="Q203" t="s">
        <v>34</v>
      </c>
      <c r="R203" t="s">
        <v>17</v>
      </c>
      <c r="S203" s="4">
        <v>707</v>
      </c>
      <c r="T203" s="5">
        <v>174</v>
      </c>
    </row>
    <row r="204" spans="16:20" x14ac:dyDescent="0.3">
      <c r="P204" t="s">
        <v>8</v>
      </c>
      <c r="Q204" t="s">
        <v>35</v>
      </c>
      <c r="R204" t="s">
        <v>30</v>
      </c>
      <c r="S204" s="4">
        <v>3598</v>
      </c>
      <c r="T204" s="5">
        <v>81</v>
      </c>
    </row>
    <row r="205" spans="16:20" x14ac:dyDescent="0.3">
      <c r="P205" t="s">
        <v>40</v>
      </c>
      <c r="Q205" t="s">
        <v>35</v>
      </c>
      <c r="R205" t="s">
        <v>22</v>
      </c>
      <c r="S205" s="4">
        <v>6853</v>
      </c>
      <c r="T205" s="5">
        <v>372</v>
      </c>
    </row>
    <row r="206" spans="16:20" x14ac:dyDescent="0.3">
      <c r="P206" t="s">
        <v>40</v>
      </c>
      <c r="Q206" t="s">
        <v>35</v>
      </c>
      <c r="R206" t="s">
        <v>16</v>
      </c>
      <c r="S206" s="4">
        <v>4725</v>
      </c>
      <c r="T206" s="5">
        <v>174</v>
      </c>
    </row>
    <row r="207" spans="16:20" x14ac:dyDescent="0.3">
      <c r="P207" t="s">
        <v>41</v>
      </c>
      <c r="Q207" t="s">
        <v>36</v>
      </c>
      <c r="R207" t="s">
        <v>32</v>
      </c>
      <c r="S207" s="4">
        <v>10304</v>
      </c>
      <c r="T207" s="5">
        <v>84</v>
      </c>
    </row>
    <row r="208" spans="16:20" x14ac:dyDescent="0.3">
      <c r="P208" t="s">
        <v>41</v>
      </c>
      <c r="Q208" t="s">
        <v>34</v>
      </c>
      <c r="R208" t="s">
        <v>16</v>
      </c>
      <c r="S208" s="4">
        <v>1274</v>
      </c>
      <c r="T208" s="5">
        <v>225</v>
      </c>
    </row>
    <row r="209" spans="16:20" x14ac:dyDescent="0.3">
      <c r="P209" t="s">
        <v>5</v>
      </c>
      <c r="Q209" t="s">
        <v>36</v>
      </c>
      <c r="R209" t="s">
        <v>30</v>
      </c>
      <c r="S209" s="4">
        <v>1526</v>
      </c>
      <c r="T209" s="5">
        <v>105</v>
      </c>
    </row>
    <row r="210" spans="16:20" x14ac:dyDescent="0.3">
      <c r="P210" t="s">
        <v>40</v>
      </c>
      <c r="Q210" t="s">
        <v>39</v>
      </c>
      <c r="R210" t="s">
        <v>28</v>
      </c>
      <c r="S210" s="4">
        <v>3101</v>
      </c>
      <c r="T210" s="5">
        <v>225</v>
      </c>
    </row>
    <row r="211" spans="16:20" x14ac:dyDescent="0.3">
      <c r="P211" t="s">
        <v>2</v>
      </c>
      <c r="Q211" t="s">
        <v>37</v>
      </c>
      <c r="R211" t="s">
        <v>14</v>
      </c>
      <c r="S211" s="4">
        <v>1057</v>
      </c>
      <c r="T211" s="5">
        <v>54</v>
      </c>
    </row>
    <row r="212" spans="16:20" x14ac:dyDescent="0.3">
      <c r="P212" t="s">
        <v>7</v>
      </c>
      <c r="Q212" t="s">
        <v>37</v>
      </c>
      <c r="R212" t="s">
        <v>26</v>
      </c>
      <c r="S212" s="4">
        <v>5306</v>
      </c>
      <c r="T212" s="5">
        <v>0</v>
      </c>
    </row>
    <row r="213" spans="16:20" x14ac:dyDescent="0.3">
      <c r="P213" t="s">
        <v>5</v>
      </c>
      <c r="Q213" t="s">
        <v>39</v>
      </c>
      <c r="R213" t="s">
        <v>24</v>
      </c>
      <c r="S213" s="4">
        <v>4018</v>
      </c>
      <c r="T213" s="5">
        <v>171</v>
      </c>
    </row>
    <row r="214" spans="16:20" x14ac:dyDescent="0.3">
      <c r="P214" t="s">
        <v>9</v>
      </c>
      <c r="Q214" t="s">
        <v>34</v>
      </c>
      <c r="R214" t="s">
        <v>16</v>
      </c>
      <c r="S214" s="4">
        <v>938</v>
      </c>
      <c r="T214" s="5">
        <v>189</v>
      </c>
    </row>
    <row r="215" spans="16:20" x14ac:dyDescent="0.3">
      <c r="P215" t="s">
        <v>7</v>
      </c>
      <c r="Q215" t="s">
        <v>38</v>
      </c>
      <c r="R215" t="s">
        <v>18</v>
      </c>
      <c r="S215" s="4">
        <v>1778</v>
      </c>
      <c r="T215" s="5">
        <v>270</v>
      </c>
    </row>
    <row r="216" spans="16:20" x14ac:dyDescent="0.3">
      <c r="P216" t="s">
        <v>6</v>
      </c>
      <c r="Q216" t="s">
        <v>39</v>
      </c>
      <c r="R216" t="s">
        <v>30</v>
      </c>
      <c r="S216" s="4">
        <v>1638</v>
      </c>
      <c r="T216" s="5">
        <v>63</v>
      </c>
    </row>
    <row r="217" spans="16:20" x14ac:dyDescent="0.3">
      <c r="P217" t="s">
        <v>41</v>
      </c>
      <c r="Q217" t="s">
        <v>38</v>
      </c>
      <c r="R217" t="s">
        <v>25</v>
      </c>
      <c r="S217" s="4">
        <v>154</v>
      </c>
      <c r="T217" s="5">
        <v>21</v>
      </c>
    </row>
    <row r="218" spans="16:20" x14ac:dyDescent="0.3">
      <c r="P218" t="s">
        <v>7</v>
      </c>
      <c r="Q218" t="s">
        <v>37</v>
      </c>
      <c r="R218" t="s">
        <v>22</v>
      </c>
      <c r="S218" s="4">
        <v>9835</v>
      </c>
      <c r="T218" s="5">
        <v>207</v>
      </c>
    </row>
    <row r="219" spans="16:20" x14ac:dyDescent="0.3">
      <c r="P219" t="s">
        <v>9</v>
      </c>
      <c r="Q219" t="s">
        <v>37</v>
      </c>
      <c r="R219" t="s">
        <v>20</v>
      </c>
      <c r="S219" s="4">
        <v>7273</v>
      </c>
      <c r="T219" s="5">
        <v>96</v>
      </c>
    </row>
    <row r="220" spans="16:20" x14ac:dyDescent="0.3">
      <c r="P220" t="s">
        <v>5</v>
      </c>
      <c r="Q220" t="s">
        <v>39</v>
      </c>
      <c r="R220" t="s">
        <v>22</v>
      </c>
      <c r="S220" s="4">
        <v>6909</v>
      </c>
      <c r="T220" s="5">
        <v>81</v>
      </c>
    </row>
    <row r="221" spans="16:20" x14ac:dyDescent="0.3">
      <c r="P221" t="s">
        <v>9</v>
      </c>
      <c r="Q221" t="s">
        <v>39</v>
      </c>
      <c r="R221" t="s">
        <v>24</v>
      </c>
      <c r="S221" s="4">
        <v>3920</v>
      </c>
      <c r="T221" s="5">
        <v>306</v>
      </c>
    </row>
    <row r="222" spans="16:20" x14ac:dyDescent="0.3">
      <c r="P222" t="s">
        <v>10</v>
      </c>
      <c r="Q222" t="s">
        <v>39</v>
      </c>
      <c r="R222" t="s">
        <v>21</v>
      </c>
      <c r="S222" s="4">
        <v>4858</v>
      </c>
      <c r="T222" s="5">
        <v>279</v>
      </c>
    </row>
    <row r="223" spans="16:20" x14ac:dyDescent="0.3">
      <c r="P223" t="s">
        <v>2</v>
      </c>
      <c r="Q223" t="s">
        <v>38</v>
      </c>
      <c r="R223" t="s">
        <v>4</v>
      </c>
      <c r="S223" s="4">
        <v>3549</v>
      </c>
      <c r="T223" s="5">
        <v>3</v>
      </c>
    </row>
    <row r="224" spans="16:20" x14ac:dyDescent="0.3">
      <c r="P224" t="s">
        <v>7</v>
      </c>
      <c r="Q224" t="s">
        <v>39</v>
      </c>
      <c r="R224" t="s">
        <v>27</v>
      </c>
      <c r="S224" s="4">
        <v>966</v>
      </c>
      <c r="T224" s="5">
        <v>198</v>
      </c>
    </row>
    <row r="225" spans="16:20" x14ac:dyDescent="0.3">
      <c r="P225" t="s">
        <v>5</v>
      </c>
      <c r="Q225" t="s">
        <v>39</v>
      </c>
      <c r="R225" t="s">
        <v>18</v>
      </c>
      <c r="S225" s="4">
        <v>385</v>
      </c>
      <c r="T225" s="5">
        <v>249</v>
      </c>
    </row>
    <row r="226" spans="16:20" x14ac:dyDescent="0.3">
      <c r="P226" t="s">
        <v>6</v>
      </c>
      <c r="Q226" t="s">
        <v>34</v>
      </c>
      <c r="R226" t="s">
        <v>16</v>
      </c>
      <c r="S226" s="4">
        <v>2219</v>
      </c>
      <c r="T226" s="5">
        <v>75</v>
      </c>
    </row>
    <row r="227" spans="16:20" x14ac:dyDescent="0.3">
      <c r="P227" t="s">
        <v>9</v>
      </c>
      <c r="Q227" t="s">
        <v>36</v>
      </c>
      <c r="R227" t="s">
        <v>32</v>
      </c>
      <c r="S227" s="4">
        <v>2954</v>
      </c>
      <c r="T227" s="5">
        <v>189</v>
      </c>
    </row>
    <row r="228" spans="16:20" x14ac:dyDescent="0.3">
      <c r="P228" t="s">
        <v>7</v>
      </c>
      <c r="Q228" t="s">
        <v>36</v>
      </c>
      <c r="R228" t="s">
        <v>32</v>
      </c>
      <c r="S228" s="4">
        <v>280</v>
      </c>
      <c r="T228" s="5">
        <v>87</v>
      </c>
    </row>
    <row r="229" spans="16:20" x14ac:dyDescent="0.3">
      <c r="P229" t="s">
        <v>41</v>
      </c>
      <c r="Q229" t="s">
        <v>36</v>
      </c>
      <c r="R229" t="s">
        <v>30</v>
      </c>
      <c r="S229" s="4">
        <v>6118</v>
      </c>
      <c r="T229" s="5">
        <v>174</v>
      </c>
    </row>
    <row r="230" spans="16:20" x14ac:dyDescent="0.3">
      <c r="P230" t="s">
        <v>2</v>
      </c>
      <c r="Q230" t="s">
        <v>39</v>
      </c>
      <c r="R230" t="s">
        <v>15</v>
      </c>
      <c r="S230" s="4">
        <v>4802</v>
      </c>
      <c r="T230" s="5">
        <v>36</v>
      </c>
    </row>
    <row r="231" spans="16:20" x14ac:dyDescent="0.3">
      <c r="P231" t="s">
        <v>9</v>
      </c>
      <c r="Q231" t="s">
        <v>38</v>
      </c>
      <c r="R231" t="s">
        <v>24</v>
      </c>
      <c r="S231" s="4">
        <v>4137</v>
      </c>
      <c r="T231" s="5">
        <v>60</v>
      </c>
    </row>
    <row r="232" spans="16:20" x14ac:dyDescent="0.3">
      <c r="P232" t="s">
        <v>3</v>
      </c>
      <c r="Q232" t="s">
        <v>35</v>
      </c>
      <c r="R232" t="s">
        <v>23</v>
      </c>
      <c r="S232" s="4">
        <v>2023</v>
      </c>
      <c r="T232" s="5">
        <v>78</v>
      </c>
    </row>
    <row r="233" spans="16:20" x14ac:dyDescent="0.3">
      <c r="P233" t="s">
        <v>9</v>
      </c>
      <c r="Q233" t="s">
        <v>36</v>
      </c>
      <c r="R233" t="s">
        <v>30</v>
      </c>
      <c r="S233" s="4">
        <v>9051</v>
      </c>
      <c r="T233" s="5">
        <v>57</v>
      </c>
    </row>
    <row r="234" spans="16:20" x14ac:dyDescent="0.3">
      <c r="P234" t="s">
        <v>9</v>
      </c>
      <c r="Q234" t="s">
        <v>37</v>
      </c>
      <c r="R234" t="s">
        <v>28</v>
      </c>
      <c r="S234" s="4">
        <v>2919</v>
      </c>
      <c r="T234" s="5">
        <v>45</v>
      </c>
    </row>
    <row r="235" spans="16:20" x14ac:dyDescent="0.3">
      <c r="P235" t="s">
        <v>41</v>
      </c>
      <c r="Q235" t="s">
        <v>38</v>
      </c>
      <c r="R235" t="s">
        <v>22</v>
      </c>
      <c r="S235" s="4">
        <v>5915</v>
      </c>
      <c r="T235" s="5">
        <v>3</v>
      </c>
    </row>
    <row r="236" spans="16:20" x14ac:dyDescent="0.3">
      <c r="P236" t="s">
        <v>10</v>
      </c>
      <c r="Q236" t="s">
        <v>35</v>
      </c>
      <c r="R236" t="s">
        <v>15</v>
      </c>
      <c r="S236" s="4">
        <v>2562</v>
      </c>
      <c r="T236" s="5">
        <v>6</v>
      </c>
    </row>
    <row r="237" spans="16:20" x14ac:dyDescent="0.3">
      <c r="P237" t="s">
        <v>5</v>
      </c>
      <c r="Q237" t="s">
        <v>37</v>
      </c>
      <c r="R237" t="s">
        <v>25</v>
      </c>
      <c r="S237" s="4">
        <v>8813</v>
      </c>
      <c r="T237" s="5">
        <v>21</v>
      </c>
    </row>
    <row r="238" spans="16:20" x14ac:dyDescent="0.3">
      <c r="P238" t="s">
        <v>5</v>
      </c>
      <c r="Q238" t="s">
        <v>36</v>
      </c>
      <c r="R238" t="s">
        <v>18</v>
      </c>
      <c r="S238" s="4">
        <v>6111</v>
      </c>
      <c r="T238" s="5">
        <v>3</v>
      </c>
    </row>
    <row r="239" spans="16:20" x14ac:dyDescent="0.3">
      <c r="P239" t="s">
        <v>8</v>
      </c>
      <c r="Q239" t="s">
        <v>34</v>
      </c>
      <c r="R239" t="s">
        <v>31</v>
      </c>
      <c r="S239" s="4">
        <v>3507</v>
      </c>
      <c r="T239" s="5">
        <v>288</v>
      </c>
    </row>
    <row r="240" spans="16:20" x14ac:dyDescent="0.3">
      <c r="P240" t="s">
        <v>6</v>
      </c>
      <c r="Q240" t="s">
        <v>36</v>
      </c>
      <c r="R240" t="s">
        <v>13</v>
      </c>
      <c r="S240" s="4">
        <v>4319</v>
      </c>
      <c r="T240" s="5">
        <v>30</v>
      </c>
    </row>
    <row r="241" spans="16:20" x14ac:dyDescent="0.3">
      <c r="P241" t="s">
        <v>40</v>
      </c>
      <c r="Q241" t="s">
        <v>38</v>
      </c>
      <c r="R241" t="s">
        <v>26</v>
      </c>
      <c r="S241" s="4">
        <v>609</v>
      </c>
      <c r="T241" s="5">
        <v>87</v>
      </c>
    </row>
    <row r="242" spans="16:20" x14ac:dyDescent="0.3">
      <c r="P242" t="s">
        <v>40</v>
      </c>
      <c r="Q242" t="s">
        <v>39</v>
      </c>
      <c r="R242" t="s">
        <v>27</v>
      </c>
      <c r="S242" s="4">
        <v>6370</v>
      </c>
      <c r="T242" s="5">
        <v>30</v>
      </c>
    </row>
    <row r="243" spans="16:20" x14ac:dyDescent="0.3">
      <c r="P243" t="s">
        <v>5</v>
      </c>
      <c r="Q243" t="s">
        <v>38</v>
      </c>
      <c r="R243" t="s">
        <v>19</v>
      </c>
      <c r="S243" s="4">
        <v>5474</v>
      </c>
      <c r="T243" s="5">
        <v>168</v>
      </c>
    </row>
    <row r="244" spans="16:20" x14ac:dyDescent="0.3">
      <c r="P244" t="s">
        <v>40</v>
      </c>
      <c r="Q244" t="s">
        <v>36</v>
      </c>
      <c r="R244" t="s">
        <v>27</v>
      </c>
      <c r="S244" s="4">
        <v>3164</v>
      </c>
      <c r="T244" s="5">
        <v>306</v>
      </c>
    </row>
    <row r="245" spans="16:20" x14ac:dyDescent="0.3">
      <c r="P245" t="s">
        <v>6</v>
      </c>
      <c r="Q245" t="s">
        <v>35</v>
      </c>
      <c r="R245" t="s">
        <v>4</v>
      </c>
      <c r="S245" s="4">
        <v>1302</v>
      </c>
      <c r="T245" s="5">
        <v>402</v>
      </c>
    </row>
    <row r="246" spans="16:20" x14ac:dyDescent="0.3">
      <c r="P246" t="s">
        <v>3</v>
      </c>
      <c r="Q246" t="s">
        <v>37</v>
      </c>
      <c r="R246" t="s">
        <v>28</v>
      </c>
      <c r="S246" s="4">
        <v>7308</v>
      </c>
      <c r="T246" s="5">
        <v>327</v>
      </c>
    </row>
    <row r="247" spans="16:20" x14ac:dyDescent="0.3">
      <c r="P247" t="s">
        <v>40</v>
      </c>
      <c r="Q247" t="s">
        <v>37</v>
      </c>
      <c r="R247" t="s">
        <v>27</v>
      </c>
      <c r="S247" s="4">
        <v>6132</v>
      </c>
      <c r="T247" s="5">
        <v>93</v>
      </c>
    </row>
    <row r="248" spans="16:20" x14ac:dyDescent="0.3">
      <c r="P248" t="s">
        <v>10</v>
      </c>
      <c r="Q248" t="s">
        <v>35</v>
      </c>
      <c r="R248" t="s">
        <v>14</v>
      </c>
      <c r="S248" s="4">
        <v>3472</v>
      </c>
      <c r="T248" s="5">
        <v>96</v>
      </c>
    </row>
    <row r="249" spans="16:20" x14ac:dyDescent="0.3">
      <c r="P249" t="s">
        <v>8</v>
      </c>
      <c r="Q249" t="s">
        <v>39</v>
      </c>
      <c r="R249" t="s">
        <v>18</v>
      </c>
      <c r="S249" s="4">
        <v>9660</v>
      </c>
      <c r="T249" s="5">
        <v>27</v>
      </c>
    </row>
    <row r="250" spans="16:20" x14ac:dyDescent="0.3">
      <c r="P250" t="s">
        <v>9</v>
      </c>
      <c r="Q250" t="s">
        <v>38</v>
      </c>
      <c r="R250" t="s">
        <v>26</v>
      </c>
      <c r="S250" s="4">
        <v>2436</v>
      </c>
      <c r="T250" s="5">
        <v>99</v>
      </c>
    </row>
    <row r="251" spans="16:20" x14ac:dyDescent="0.3">
      <c r="P251" t="s">
        <v>9</v>
      </c>
      <c r="Q251" t="s">
        <v>38</v>
      </c>
      <c r="R251" t="s">
        <v>33</v>
      </c>
      <c r="S251" s="4">
        <v>9506</v>
      </c>
      <c r="T251" s="5">
        <v>87</v>
      </c>
    </row>
    <row r="252" spans="16:20" x14ac:dyDescent="0.3">
      <c r="P252" t="s">
        <v>10</v>
      </c>
      <c r="Q252" t="s">
        <v>37</v>
      </c>
      <c r="R252" t="s">
        <v>21</v>
      </c>
      <c r="S252" s="4">
        <v>245</v>
      </c>
      <c r="T252" s="5">
        <v>288</v>
      </c>
    </row>
    <row r="253" spans="16:20" x14ac:dyDescent="0.3">
      <c r="P253" t="s">
        <v>8</v>
      </c>
      <c r="Q253" t="s">
        <v>35</v>
      </c>
      <c r="R253" t="s">
        <v>20</v>
      </c>
      <c r="S253" s="4">
        <v>2702</v>
      </c>
      <c r="T253" s="5">
        <v>363</v>
      </c>
    </row>
    <row r="254" spans="16:20" x14ac:dyDescent="0.3">
      <c r="P254" t="s">
        <v>10</v>
      </c>
      <c r="Q254" t="s">
        <v>34</v>
      </c>
      <c r="R254" t="s">
        <v>17</v>
      </c>
      <c r="S254" s="4">
        <v>700</v>
      </c>
      <c r="T254" s="5">
        <v>87</v>
      </c>
    </row>
    <row r="255" spans="16:20" x14ac:dyDescent="0.3">
      <c r="P255" t="s">
        <v>6</v>
      </c>
      <c r="Q255" t="s">
        <v>34</v>
      </c>
      <c r="R255" t="s">
        <v>17</v>
      </c>
      <c r="S255" s="4">
        <v>3759</v>
      </c>
      <c r="T255" s="5">
        <v>150</v>
      </c>
    </row>
    <row r="256" spans="16:20" x14ac:dyDescent="0.3">
      <c r="P256" t="s">
        <v>2</v>
      </c>
      <c r="Q256" t="s">
        <v>35</v>
      </c>
      <c r="R256" t="s">
        <v>17</v>
      </c>
      <c r="S256" s="4">
        <v>1589</v>
      </c>
      <c r="T256" s="5">
        <v>303</v>
      </c>
    </row>
    <row r="257" spans="16:20" x14ac:dyDescent="0.3">
      <c r="P257" t="s">
        <v>7</v>
      </c>
      <c r="Q257" t="s">
        <v>35</v>
      </c>
      <c r="R257" t="s">
        <v>28</v>
      </c>
      <c r="S257" s="4">
        <v>5194</v>
      </c>
      <c r="T257" s="5">
        <v>288</v>
      </c>
    </row>
    <row r="258" spans="16:20" x14ac:dyDescent="0.3">
      <c r="P258" t="s">
        <v>10</v>
      </c>
      <c r="Q258" t="s">
        <v>36</v>
      </c>
      <c r="R258" t="s">
        <v>13</v>
      </c>
      <c r="S258" s="4">
        <v>945</v>
      </c>
      <c r="T258" s="5">
        <v>75</v>
      </c>
    </row>
    <row r="259" spans="16:20" x14ac:dyDescent="0.3">
      <c r="P259" t="s">
        <v>40</v>
      </c>
      <c r="Q259" t="s">
        <v>38</v>
      </c>
      <c r="R259" t="s">
        <v>31</v>
      </c>
      <c r="S259" s="4">
        <v>1988</v>
      </c>
      <c r="T259" s="5">
        <v>39</v>
      </c>
    </row>
    <row r="260" spans="16:20" x14ac:dyDescent="0.3">
      <c r="P260" t="s">
        <v>6</v>
      </c>
      <c r="Q260" t="s">
        <v>34</v>
      </c>
      <c r="R260" t="s">
        <v>32</v>
      </c>
      <c r="S260" s="4">
        <v>6734</v>
      </c>
      <c r="T260" s="5">
        <v>123</v>
      </c>
    </row>
    <row r="261" spans="16:20" x14ac:dyDescent="0.3">
      <c r="P261" t="s">
        <v>40</v>
      </c>
      <c r="Q261" t="s">
        <v>36</v>
      </c>
      <c r="R261" t="s">
        <v>4</v>
      </c>
      <c r="S261" s="4">
        <v>217</v>
      </c>
      <c r="T261" s="5">
        <v>36</v>
      </c>
    </row>
    <row r="262" spans="16:20" x14ac:dyDescent="0.3">
      <c r="P262" t="s">
        <v>5</v>
      </c>
      <c r="Q262" t="s">
        <v>34</v>
      </c>
      <c r="R262" t="s">
        <v>22</v>
      </c>
      <c r="S262" s="4">
        <v>6279</v>
      </c>
      <c r="T262" s="5">
        <v>237</v>
      </c>
    </row>
    <row r="263" spans="16:20" x14ac:dyDescent="0.3">
      <c r="P263" t="s">
        <v>40</v>
      </c>
      <c r="Q263" t="s">
        <v>36</v>
      </c>
      <c r="R263" t="s">
        <v>13</v>
      </c>
      <c r="S263" s="4">
        <v>4424</v>
      </c>
      <c r="T263" s="5">
        <v>201</v>
      </c>
    </row>
    <row r="264" spans="16:20" x14ac:dyDescent="0.3">
      <c r="P264" t="s">
        <v>2</v>
      </c>
      <c r="Q264" t="s">
        <v>36</v>
      </c>
      <c r="R264" t="s">
        <v>17</v>
      </c>
      <c r="S264" s="4">
        <v>189</v>
      </c>
      <c r="T264" s="5">
        <v>48</v>
      </c>
    </row>
    <row r="265" spans="16:20" x14ac:dyDescent="0.3">
      <c r="P265" t="s">
        <v>5</v>
      </c>
      <c r="Q265" t="s">
        <v>35</v>
      </c>
      <c r="R265" t="s">
        <v>22</v>
      </c>
      <c r="S265" s="4">
        <v>490</v>
      </c>
      <c r="T265" s="5">
        <v>84</v>
      </c>
    </row>
    <row r="266" spans="16:20" x14ac:dyDescent="0.3">
      <c r="P266" t="s">
        <v>8</v>
      </c>
      <c r="Q266" t="s">
        <v>37</v>
      </c>
      <c r="R266" t="s">
        <v>21</v>
      </c>
      <c r="S266" s="4">
        <v>434</v>
      </c>
      <c r="T266" s="5">
        <v>87</v>
      </c>
    </row>
    <row r="267" spans="16:20" x14ac:dyDescent="0.3">
      <c r="P267" t="s">
        <v>7</v>
      </c>
      <c r="Q267" t="s">
        <v>38</v>
      </c>
      <c r="R267" t="s">
        <v>30</v>
      </c>
      <c r="S267" s="4">
        <v>10129</v>
      </c>
      <c r="T267" s="5">
        <v>312</v>
      </c>
    </row>
    <row r="268" spans="16:20" x14ac:dyDescent="0.3">
      <c r="P268" t="s">
        <v>3</v>
      </c>
      <c r="Q268" t="s">
        <v>39</v>
      </c>
      <c r="R268" t="s">
        <v>28</v>
      </c>
      <c r="S268" s="4">
        <v>1652</v>
      </c>
      <c r="T268" s="5">
        <v>102</v>
      </c>
    </row>
    <row r="269" spans="16:20" x14ac:dyDescent="0.3">
      <c r="P269" t="s">
        <v>8</v>
      </c>
      <c r="Q269" t="s">
        <v>38</v>
      </c>
      <c r="R269" t="s">
        <v>21</v>
      </c>
      <c r="S269" s="4">
        <v>6433</v>
      </c>
      <c r="T269" s="5">
        <v>78</v>
      </c>
    </row>
    <row r="270" spans="16:20" x14ac:dyDescent="0.3">
      <c r="P270" t="s">
        <v>3</v>
      </c>
      <c r="Q270" t="s">
        <v>34</v>
      </c>
      <c r="R270" t="s">
        <v>23</v>
      </c>
      <c r="S270" s="4">
        <v>2212</v>
      </c>
      <c r="T270" s="5">
        <v>117</v>
      </c>
    </row>
    <row r="271" spans="16:20" x14ac:dyDescent="0.3">
      <c r="P271" t="s">
        <v>41</v>
      </c>
      <c r="Q271" t="s">
        <v>35</v>
      </c>
      <c r="R271" t="s">
        <v>19</v>
      </c>
      <c r="S271" s="4">
        <v>609</v>
      </c>
      <c r="T271" s="5">
        <v>99</v>
      </c>
    </row>
    <row r="272" spans="16:20" x14ac:dyDescent="0.3">
      <c r="P272" t="s">
        <v>40</v>
      </c>
      <c r="Q272" t="s">
        <v>35</v>
      </c>
      <c r="R272" t="s">
        <v>24</v>
      </c>
      <c r="S272" s="4">
        <v>1638</v>
      </c>
      <c r="T272" s="5">
        <v>48</v>
      </c>
    </row>
    <row r="273" spans="16:20" x14ac:dyDescent="0.3">
      <c r="P273" t="s">
        <v>7</v>
      </c>
      <c r="Q273" t="s">
        <v>34</v>
      </c>
      <c r="R273" t="s">
        <v>15</v>
      </c>
      <c r="S273" s="4">
        <v>3829</v>
      </c>
      <c r="T273" s="5">
        <v>24</v>
      </c>
    </row>
    <row r="274" spans="16:20" x14ac:dyDescent="0.3">
      <c r="P274" t="s">
        <v>40</v>
      </c>
      <c r="Q274" t="s">
        <v>39</v>
      </c>
      <c r="R274" t="s">
        <v>15</v>
      </c>
      <c r="S274" s="4">
        <v>5775</v>
      </c>
      <c r="T274" s="5">
        <v>42</v>
      </c>
    </row>
    <row r="275" spans="16:20" x14ac:dyDescent="0.3">
      <c r="P275" t="s">
        <v>6</v>
      </c>
      <c r="Q275" t="s">
        <v>35</v>
      </c>
      <c r="R275" t="s">
        <v>20</v>
      </c>
      <c r="S275" s="4">
        <v>1071</v>
      </c>
      <c r="T275" s="5">
        <v>270</v>
      </c>
    </row>
    <row r="276" spans="16:20" x14ac:dyDescent="0.3">
      <c r="P276" t="s">
        <v>8</v>
      </c>
      <c r="Q276" t="s">
        <v>36</v>
      </c>
      <c r="R276" t="s">
        <v>23</v>
      </c>
      <c r="S276" s="4">
        <v>5019</v>
      </c>
      <c r="T276" s="5">
        <v>150</v>
      </c>
    </row>
    <row r="277" spans="16:20" x14ac:dyDescent="0.3">
      <c r="P277" t="s">
        <v>2</v>
      </c>
      <c r="Q277" t="s">
        <v>37</v>
      </c>
      <c r="R277" t="s">
        <v>15</v>
      </c>
      <c r="S277" s="4">
        <v>2863</v>
      </c>
      <c r="T277" s="5">
        <v>42</v>
      </c>
    </row>
    <row r="278" spans="16:20" x14ac:dyDescent="0.3">
      <c r="P278" t="s">
        <v>40</v>
      </c>
      <c r="Q278" t="s">
        <v>35</v>
      </c>
      <c r="R278" t="s">
        <v>29</v>
      </c>
      <c r="S278" s="4">
        <v>1617</v>
      </c>
      <c r="T278" s="5">
        <v>126</v>
      </c>
    </row>
    <row r="279" spans="16:20" x14ac:dyDescent="0.3">
      <c r="P279" t="s">
        <v>6</v>
      </c>
      <c r="Q279" t="s">
        <v>37</v>
      </c>
      <c r="R279" t="s">
        <v>26</v>
      </c>
      <c r="S279" s="4">
        <v>6818</v>
      </c>
      <c r="T279" s="5">
        <v>6</v>
      </c>
    </row>
    <row r="280" spans="16:20" x14ac:dyDescent="0.3">
      <c r="P280" t="s">
        <v>3</v>
      </c>
      <c r="Q280" t="s">
        <v>35</v>
      </c>
      <c r="R280" t="s">
        <v>15</v>
      </c>
      <c r="S280" s="4">
        <v>6657</v>
      </c>
      <c r="T280" s="5">
        <v>276</v>
      </c>
    </row>
    <row r="281" spans="16:20" x14ac:dyDescent="0.3">
      <c r="P281" t="s">
        <v>3</v>
      </c>
      <c r="Q281" t="s">
        <v>34</v>
      </c>
      <c r="R281" t="s">
        <v>17</v>
      </c>
      <c r="S281" s="4">
        <v>2919</v>
      </c>
      <c r="T281" s="5">
        <v>93</v>
      </c>
    </row>
    <row r="282" spans="16:20" x14ac:dyDescent="0.3">
      <c r="P282" t="s">
        <v>2</v>
      </c>
      <c r="Q282" t="s">
        <v>36</v>
      </c>
      <c r="R282" t="s">
        <v>31</v>
      </c>
      <c r="S282" s="4">
        <v>3094</v>
      </c>
      <c r="T282" s="5">
        <v>246</v>
      </c>
    </row>
    <row r="283" spans="16:20" x14ac:dyDescent="0.3">
      <c r="P283" t="s">
        <v>6</v>
      </c>
      <c r="Q283" t="s">
        <v>39</v>
      </c>
      <c r="R283" t="s">
        <v>24</v>
      </c>
      <c r="S283" s="4">
        <v>2989</v>
      </c>
      <c r="T283" s="5">
        <v>3</v>
      </c>
    </row>
    <row r="284" spans="16:20" x14ac:dyDescent="0.3">
      <c r="P284" t="s">
        <v>8</v>
      </c>
      <c r="Q284" t="s">
        <v>38</v>
      </c>
      <c r="R284" t="s">
        <v>27</v>
      </c>
      <c r="S284" s="4">
        <v>2268</v>
      </c>
      <c r="T284" s="5">
        <v>63</v>
      </c>
    </row>
    <row r="285" spans="16:20" x14ac:dyDescent="0.3">
      <c r="P285" t="s">
        <v>5</v>
      </c>
      <c r="Q285" t="s">
        <v>35</v>
      </c>
      <c r="R285" t="s">
        <v>31</v>
      </c>
      <c r="S285" s="4">
        <v>4753</v>
      </c>
      <c r="T285" s="5">
        <v>246</v>
      </c>
    </row>
    <row r="286" spans="16:20" x14ac:dyDescent="0.3">
      <c r="P286" t="s">
        <v>2</v>
      </c>
      <c r="Q286" t="s">
        <v>34</v>
      </c>
      <c r="R286" t="s">
        <v>19</v>
      </c>
      <c r="S286" s="4">
        <v>7511</v>
      </c>
      <c r="T286" s="5">
        <v>120</v>
      </c>
    </row>
    <row r="287" spans="16:20" x14ac:dyDescent="0.3">
      <c r="P287" t="s">
        <v>2</v>
      </c>
      <c r="Q287" t="s">
        <v>38</v>
      </c>
      <c r="R287" t="s">
        <v>31</v>
      </c>
      <c r="S287" s="4">
        <v>4326</v>
      </c>
      <c r="T287" s="5">
        <v>348</v>
      </c>
    </row>
    <row r="288" spans="16:20" x14ac:dyDescent="0.3">
      <c r="P288" t="s">
        <v>41</v>
      </c>
      <c r="Q288" t="s">
        <v>34</v>
      </c>
      <c r="R288" t="s">
        <v>23</v>
      </c>
      <c r="S288" s="4">
        <v>4935</v>
      </c>
      <c r="T288" s="5">
        <v>126</v>
      </c>
    </row>
    <row r="289" spans="16:20" x14ac:dyDescent="0.3">
      <c r="P289" t="s">
        <v>6</v>
      </c>
      <c r="Q289" t="s">
        <v>35</v>
      </c>
      <c r="R289" t="s">
        <v>30</v>
      </c>
      <c r="S289" s="4">
        <v>4781</v>
      </c>
      <c r="T289" s="5">
        <v>123</v>
      </c>
    </row>
    <row r="290" spans="16:20" x14ac:dyDescent="0.3">
      <c r="P290" t="s">
        <v>5</v>
      </c>
      <c r="Q290" t="s">
        <v>38</v>
      </c>
      <c r="R290" t="s">
        <v>25</v>
      </c>
      <c r="S290" s="4">
        <v>7483</v>
      </c>
      <c r="T290" s="5">
        <v>45</v>
      </c>
    </row>
    <row r="291" spans="16:20" x14ac:dyDescent="0.3">
      <c r="P291" t="s">
        <v>10</v>
      </c>
      <c r="Q291" t="s">
        <v>38</v>
      </c>
      <c r="R291" t="s">
        <v>4</v>
      </c>
      <c r="S291" s="4">
        <v>6860</v>
      </c>
      <c r="T291" s="5">
        <v>126</v>
      </c>
    </row>
    <row r="292" spans="16:20" x14ac:dyDescent="0.3">
      <c r="P292" t="s">
        <v>40</v>
      </c>
      <c r="Q292" t="s">
        <v>37</v>
      </c>
      <c r="R292" t="s">
        <v>29</v>
      </c>
      <c r="S292" s="4">
        <v>9002</v>
      </c>
      <c r="T292" s="5">
        <v>72</v>
      </c>
    </row>
    <row r="293" spans="16:20" x14ac:dyDescent="0.3">
      <c r="P293" t="s">
        <v>6</v>
      </c>
      <c r="Q293" t="s">
        <v>36</v>
      </c>
      <c r="R293" t="s">
        <v>29</v>
      </c>
      <c r="S293" s="4">
        <v>1400</v>
      </c>
      <c r="T293" s="5">
        <v>135</v>
      </c>
    </row>
    <row r="294" spans="16:20" x14ac:dyDescent="0.3">
      <c r="P294" t="s">
        <v>10</v>
      </c>
      <c r="Q294" t="s">
        <v>34</v>
      </c>
      <c r="R294" t="s">
        <v>22</v>
      </c>
      <c r="S294" s="4">
        <v>4053</v>
      </c>
      <c r="T294" s="5">
        <v>24</v>
      </c>
    </row>
    <row r="295" spans="16:20" x14ac:dyDescent="0.3">
      <c r="P295" t="s">
        <v>7</v>
      </c>
      <c r="Q295" t="s">
        <v>36</v>
      </c>
      <c r="R295" t="s">
        <v>31</v>
      </c>
      <c r="S295" s="4">
        <v>2149</v>
      </c>
      <c r="T295" s="5">
        <v>117</v>
      </c>
    </row>
    <row r="296" spans="16:20" x14ac:dyDescent="0.3">
      <c r="P296" t="s">
        <v>3</v>
      </c>
      <c r="Q296" t="s">
        <v>39</v>
      </c>
      <c r="R296" t="s">
        <v>29</v>
      </c>
      <c r="S296" s="4">
        <v>3640</v>
      </c>
      <c r="T296" s="5">
        <v>51</v>
      </c>
    </row>
    <row r="297" spans="16:20" x14ac:dyDescent="0.3">
      <c r="P297" t="s">
        <v>2</v>
      </c>
      <c r="Q297" t="s">
        <v>39</v>
      </c>
      <c r="R297" t="s">
        <v>23</v>
      </c>
      <c r="S297" s="4">
        <v>630</v>
      </c>
      <c r="T297" s="5">
        <v>36</v>
      </c>
    </row>
    <row r="298" spans="16:20" x14ac:dyDescent="0.3">
      <c r="P298" t="s">
        <v>9</v>
      </c>
      <c r="Q298" t="s">
        <v>35</v>
      </c>
      <c r="R298" t="s">
        <v>27</v>
      </c>
      <c r="S298" s="4">
        <v>2429</v>
      </c>
      <c r="T298" s="5">
        <v>144</v>
      </c>
    </row>
    <row r="299" spans="16:20" x14ac:dyDescent="0.3">
      <c r="P299" t="s">
        <v>9</v>
      </c>
      <c r="Q299" t="s">
        <v>36</v>
      </c>
      <c r="R299" t="s">
        <v>25</v>
      </c>
      <c r="S299" s="4">
        <v>2142</v>
      </c>
      <c r="T299" s="5">
        <v>114</v>
      </c>
    </row>
    <row r="300" spans="16:20" x14ac:dyDescent="0.3">
      <c r="P300" t="s">
        <v>7</v>
      </c>
      <c r="Q300" t="s">
        <v>37</v>
      </c>
      <c r="R300" t="s">
        <v>30</v>
      </c>
      <c r="S300" s="4">
        <v>6454</v>
      </c>
      <c r="T300" s="5">
        <v>54</v>
      </c>
    </row>
    <row r="301" spans="16:20" x14ac:dyDescent="0.3">
      <c r="P301" t="s">
        <v>7</v>
      </c>
      <c r="Q301" t="s">
        <v>37</v>
      </c>
      <c r="R301" t="s">
        <v>16</v>
      </c>
      <c r="S301" s="4">
        <v>4487</v>
      </c>
      <c r="T301" s="5">
        <v>333</v>
      </c>
    </row>
    <row r="302" spans="16:20" x14ac:dyDescent="0.3">
      <c r="P302" t="s">
        <v>3</v>
      </c>
      <c r="Q302" t="s">
        <v>37</v>
      </c>
      <c r="R302" t="s">
        <v>4</v>
      </c>
      <c r="S302" s="4">
        <v>938</v>
      </c>
      <c r="T302" s="5">
        <v>366</v>
      </c>
    </row>
    <row r="303" spans="16:20" x14ac:dyDescent="0.3">
      <c r="P303" t="s">
        <v>3</v>
      </c>
      <c r="Q303" t="s">
        <v>38</v>
      </c>
      <c r="R303" t="s">
        <v>26</v>
      </c>
      <c r="S303" s="4">
        <v>8841</v>
      </c>
      <c r="T303" s="5">
        <v>303</v>
      </c>
    </row>
    <row r="304" spans="16:20" x14ac:dyDescent="0.3">
      <c r="P304" t="s">
        <v>2</v>
      </c>
      <c r="Q304" t="s">
        <v>39</v>
      </c>
      <c r="R304" t="s">
        <v>33</v>
      </c>
      <c r="S304" s="4">
        <v>4018</v>
      </c>
      <c r="T304" s="5">
        <v>126</v>
      </c>
    </row>
    <row r="305" spans="16:20" x14ac:dyDescent="0.3">
      <c r="P305" t="s">
        <v>41</v>
      </c>
      <c r="Q305" t="s">
        <v>37</v>
      </c>
      <c r="R305" t="s">
        <v>15</v>
      </c>
      <c r="S305" s="4">
        <v>714</v>
      </c>
      <c r="T305" s="5">
        <v>231</v>
      </c>
    </row>
    <row r="306" spans="16:20" x14ac:dyDescent="0.3">
      <c r="P306" t="s">
        <v>9</v>
      </c>
      <c r="Q306" t="s">
        <v>38</v>
      </c>
      <c r="R306" t="s">
        <v>25</v>
      </c>
      <c r="S306" s="4">
        <v>3850</v>
      </c>
      <c r="T306" s="5">
        <v>102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5D56-1A30-4F72-9BC0-D5FE6CDCF80C}">
  <dimension ref="A1:D16"/>
  <sheetViews>
    <sheetView tabSelected="1" workbookViewId="0">
      <selection activeCell="N22" sqref="N22"/>
    </sheetView>
  </sheetViews>
  <sheetFormatPr defaultRowHeight="15.05" x14ac:dyDescent="0.3"/>
  <cols>
    <col min="3" max="3" width="15.5546875" bestFit="1" customWidth="1"/>
    <col min="4" max="4" width="14.44140625" bestFit="1" customWidth="1"/>
  </cols>
  <sheetData>
    <row r="1" spans="1:4" s="2" customFormat="1" ht="52.45" customHeight="1" x14ac:dyDescent="1.1000000000000001">
      <c r="A1" s="15">
        <v>7</v>
      </c>
      <c r="C1" s="14" t="s">
        <v>88</v>
      </c>
    </row>
    <row r="3" spans="1:4" x14ac:dyDescent="0.3">
      <c r="C3" s="24" t="s">
        <v>81</v>
      </c>
      <c r="D3" t="s">
        <v>83</v>
      </c>
    </row>
    <row r="4" spans="1:4" x14ac:dyDescent="0.3">
      <c r="C4" s="25" t="s">
        <v>39</v>
      </c>
      <c r="D4" s="4">
        <v>45752</v>
      </c>
    </row>
    <row r="5" spans="1:4" x14ac:dyDescent="0.3">
      <c r="C5" s="29" t="s">
        <v>2</v>
      </c>
      <c r="D5" s="4">
        <v>45752</v>
      </c>
    </row>
    <row r="6" spans="1:4" x14ac:dyDescent="0.3">
      <c r="C6" s="25" t="s">
        <v>37</v>
      </c>
      <c r="D6" s="4">
        <v>43568</v>
      </c>
    </row>
    <row r="7" spans="1:4" x14ac:dyDescent="0.3">
      <c r="C7" s="29" t="s">
        <v>7</v>
      </c>
      <c r="D7" s="4">
        <v>43568</v>
      </c>
    </row>
    <row r="8" spans="1:4" x14ac:dyDescent="0.3">
      <c r="C8" s="25" t="s">
        <v>34</v>
      </c>
      <c r="D8" s="4">
        <v>41559</v>
      </c>
    </row>
    <row r="9" spans="1:4" x14ac:dyDescent="0.3">
      <c r="C9" s="29" t="s">
        <v>5</v>
      </c>
      <c r="D9" s="4">
        <v>41559</v>
      </c>
    </row>
    <row r="10" spans="1:4" x14ac:dyDescent="0.3">
      <c r="C10" s="25" t="s">
        <v>36</v>
      </c>
      <c r="D10" s="4">
        <v>39620</v>
      </c>
    </row>
    <row r="11" spans="1:4" x14ac:dyDescent="0.3">
      <c r="C11" s="29" t="s">
        <v>5</v>
      </c>
      <c r="D11" s="4">
        <v>39620</v>
      </c>
    </row>
    <row r="12" spans="1:4" x14ac:dyDescent="0.3">
      <c r="C12" s="25" t="s">
        <v>35</v>
      </c>
      <c r="D12" s="4">
        <v>38325</v>
      </c>
    </row>
    <row r="13" spans="1:4" x14ac:dyDescent="0.3">
      <c r="C13" s="29" t="s">
        <v>40</v>
      </c>
      <c r="D13" s="4">
        <v>38325</v>
      </c>
    </row>
    <row r="14" spans="1:4" x14ac:dyDescent="0.3">
      <c r="C14" s="25" t="s">
        <v>38</v>
      </c>
      <c r="D14" s="4">
        <v>25221</v>
      </c>
    </row>
    <row r="15" spans="1:4" x14ac:dyDescent="0.3">
      <c r="C15" s="29" t="s">
        <v>5</v>
      </c>
      <c r="D15" s="4">
        <v>25221</v>
      </c>
    </row>
    <row r="16" spans="1:4" x14ac:dyDescent="0.3">
      <c r="C16" s="25" t="s">
        <v>82</v>
      </c>
      <c r="D16" s="4">
        <v>234045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Quick Statistics</vt:lpstr>
      <vt:lpstr>EDA</vt:lpstr>
      <vt:lpstr>Sales_by_country</vt:lpstr>
      <vt:lpstr>Pivot Tables</vt:lpstr>
      <vt:lpstr>$ per unit</vt:lpstr>
      <vt:lpstr>Anamolies</vt:lpstr>
      <vt:lpstr>Best sales 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SANDHYA S</cp:lastModifiedBy>
  <dcterms:created xsi:type="dcterms:W3CDTF">2021-03-14T20:21:32Z</dcterms:created>
  <dcterms:modified xsi:type="dcterms:W3CDTF">2026-08-05T08:36:05Z</dcterms:modified>
</cp:coreProperties>
</file>