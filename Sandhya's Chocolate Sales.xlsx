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MSexcel\"/>
    </mc:Choice>
  </mc:AlternateContent>
  <xr:revisionPtr revIDLastSave="0" documentId="13_ncr:1_{C221C4EE-732C-4269-85FB-1FC9F0E3EEC3}" xr6:coauthVersionLast="47" xr6:coauthVersionMax="47" xr10:uidLastSave="{00000000-0000-0000-0000-000000000000}"/>
  <bookViews>
    <workbookView xWindow="-113" yWindow="-113" windowWidth="24267" windowHeight="13749" xr2:uid="{B2965DF0-2B2F-4D81-8525-9E8CC7A26602}"/>
  </bookViews>
  <sheets>
    <sheet name="Sheet1" sheetId="1" r:id="rId1"/>
  </sheet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" l="1"/>
  <c r="F27" i="1"/>
</calcChain>
</file>

<file path=xl/sharedStrings.xml><?xml version="1.0" encoding="utf-8"?>
<sst xmlns="http://schemas.openxmlformats.org/spreadsheetml/2006/main" count="78" uniqueCount="62">
  <si>
    <t>Sandhya's Chocolate Sales</t>
  </si>
  <si>
    <t xml:space="preserve">Date </t>
  </si>
  <si>
    <t>Name</t>
  </si>
  <si>
    <t>Email</t>
  </si>
  <si>
    <t>Boxes Sold</t>
  </si>
  <si>
    <t>Amount</t>
  </si>
  <si>
    <t>Payment Mode</t>
  </si>
  <si>
    <t>Akshaya</t>
  </si>
  <si>
    <t>akshaya@gmail.com</t>
  </si>
  <si>
    <t>gpay</t>
  </si>
  <si>
    <t>Kaladevi</t>
  </si>
  <si>
    <t>kaladevi@gmail.com</t>
  </si>
  <si>
    <t>Kaviyasree</t>
  </si>
  <si>
    <t>kaviyasree@gmail.com</t>
  </si>
  <si>
    <t>cash</t>
  </si>
  <si>
    <t>10th-march-26</t>
  </si>
  <si>
    <t>Janis</t>
  </si>
  <si>
    <t>janis@gmail.com</t>
  </si>
  <si>
    <t>Aishwarya</t>
  </si>
  <si>
    <t>aishwarya@gmail.com</t>
  </si>
  <si>
    <t>Suganya</t>
  </si>
  <si>
    <t>suganya@gmail.com</t>
  </si>
  <si>
    <t>31st-jan-26</t>
  </si>
  <si>
    <t>21st-feb-26</t>
  </si>
  <si>
    <t>12th-march-26</t>
  </si>
  <si>
    <t>9th-april-26</t>
  </si>
  <si>
    <t>10th-april-26</t>
  </si>
  <si>
    <t>11th-may-26</t>
  </si>
  <si>
    <t>Jyotsna</t>
  </si>
  <si>
    <t>jyo@gmail.com</t>
  </si>
  <si>
    <t>20th-may-26</t>
  </si>
  <si>
    <t>Shruthi</t>
  </si>
  <si>
    <t>shruthi@gmail.ccom</t>
  </si>
  <si>
    <t>27th-may-26</t>
  </si>
  <si>
    <t>Subha</t>
  </si>
  <si>
    <t>subha@gmail.com</t>
  </si>
  <si>
    <t>10th-june-26</t>
  </si>
  <si>
    <t>Amritha</t>
  </si>
  <si>
    <t>amritha@gmail.com</t>
  </si>
  <si>
    <t>15th-june-26</t>
  </si>
  <si>
    <t>Kiru</t>
  </si>
  <si>
    <t>kiru@gmail.com</t>
  </si>
  <si>
    <t>20th-june-26</t>
  </si>
  <si>
    <t>Sangeetha</t>
  </si>
  <si>
    <t>sangeetha@gmail.com</t>
  </si>
  <si>
    <t>25th-june-26</t>
  </si>
  <si>
    <t>Megana</t>
  </si>
  <si>
    <t>megana@gmail.com</t>
  </si>
  <si>
    <t>1st-july-26</t>
  </si>
  <si>
    <t>Harshika</t>
  </si>
  <si>
    <t>harsh@gmail.com</t>
  </si>
  <si>
    <t>Sashmita</t>
  </si>
  <si>
    <t>sash@gmail.com</t>
  </si>
  <si>
    <t>16th-july-26</t>
  </si>
  <si>
    <t>22nd-july-26</t>
  </si>
  <si>
    <t>Sahana</t>
  </si>
  <si>
    <t>sahana@gmail.com</t>
  </si>
  <si>
    <t>Total Boxes Sold:</t>
  </si>
  <si>
    <t>Revenue: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</si>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</sst>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2" fillId="0" borderId="2" xfId="1" applyBorder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6">
    <dxf>
      <numFmt numFmtId="164" formatCode="_ [$₹-4009]\ * #,##0.00_ ;_ [$₹-4009]\ * \-#,##0.00_ ;_ [$₹-4009]\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[Sandhya's Chocolate Sales.xlsx]Sheet1!PivotTable1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23-4872-9A62-8FE4D583CB49}"/>
              </c:ext>
            </c:extLst>
          </c:dPt>
          <c:cat>
            <c:strRef>
              <c:f>Sheet1!$I$27:$I$29</c:f>
              <c:strCache>
                <c:ptCount val="2"/>
                <c:pt idx="0">
                  <c:v>cash</c:v>
                </c:pt>
                <c:pt idx="1">
                  <c:v>gpay</c:v>
                </c:pt>
              </c:strCache>
            </c:strRef>
          </c:cat>
          <c:val>
            <c:numRef>
              <c:f>Sheet1!$J$27:$J$29</c:f>
              <c:numCache>
                <c:formatCode>_ [$₹-4009]\ * #,##0.00_ ;_ [$₹-4009]\ * \-#,##0.00_ ;_ [$₹-4009]\ * "-"??_ ;_ @_ </c:formatCode>
                <c:ptCount val="2"/>
                <c:pt idx="0">
                  <c:v>2040</c:v>
                </c:pt>
                <c:pt idx="1">
                  <c:v>5020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3-4872-9A62-8FE4D583C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7069775"/>
        <c:axId val="1327068335"/>
      </c:barChart>
      <c:catAx>
        <c:axId val="132706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68335"/>
        <c:crosses val="autoZero"/>
        <c:auto val="1"/>
        <c:lblAlgn val="ctr"/>
        <c:lblOffset val="100"/>
        <c:noMultiLvlLbl val="0"/>
      </c:catAx>
      <c:valAx>
        <c:axId val="13270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6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421418</xdr:colOff>
      <xdr:row>4</xdr:row>
      <xdr:rowOff>182879</xdr:rowOff>
    </xdr:from>
    <xdr:to>
      <xdr:col>14</xdr:col>
      <xdr:colOff>143122</xdr:colOff>
      <xdr:row>19</xdr:row>
      <xdr:rowOff>63610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E87DF3-C42F-A46B-D6C5-AD0C53F68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38.409154976849" createdVersion="8" refreshedVersion="8" minRefreshableVersion="3" recordCount="16" xr:uid="{88C6DCF8-14F6-45E6-A8AC-4D4943038550}">
  <cacheSource type="worksheet">
    <worksheetSource name="Table1"/>
  </cacheSource>
  <cacheFields count="6">
    <cacheField name="Date " numFmtId="0">
      <sharedItems count="16">
        <s v="31st-jan-26"/>
        <s v="21st-feb-26"/>
        <s v="12th-march-26"/>
        <s v="10th-march-26"/>
        <s v="9th-april-26"/>
        <s v="10th-april-26"/>
        <s v="11th-may-26"/>
        <s v="20th-may-26"/>
        <s v="27th-may-26"/>
        <s v="10th-june-26"/>
        <s v="15th-june-26"/>
        <s v="20th-june-26"/>
        <s v="25th-june-26"/>
        <s v="1st-july-26"/>
        <s v="16th-july-26"/>
        <s v="22nd-july-26"/>
      </sharedItems>
    </cacheField>
    <cacheField name="Name" numFmtId="0">
      <sharedItems count="16">
        <s v="Akshaya"/>
        <s v="Kaladevi"/>
        <s v="Kaviyasree"/>
        <s v="Janis"/>
        <s v="Aishwarya"/>
        <s v="Suganya"/>
        <s v="Jyotsna"/>
        <s v="Shruthi"/>
        <s v="Subha"/>
        <s v="Amritha"/>
        <s v="Kiru"/>
        <s v="Sangeetha"/>
        <s v="Megana"/>
        <s v="Harshika"/>
        <s v="Sashmita"/>
        <s v="Sahana"/>
      </sharedItems>
    </cacheField>
    <cacheField name="Email" numFmtId="0">
      <sharedItems count="16">
        <s v="akshaya@gmail.com"/>
        <s v="kaladevi@gmail.com"/>
        <s v="kaviyasree@gmail.com"/>
        <s v="janis@gmail.com"/>
        <s v="aishwarya@gmail.com"/>
        <s v="suganya@gmail.com"/>
        <s v="jyo@gmail.com"/>
        <s v="shruthi@gmail.ccom"/>
        <s v="subha@gmail.com"/>
        <s v="amritha@gmail.com"/>
        <s v="kiru@gmail.com"/>
        <s v="sangeetha@gmail.com"/>
        <s v="megana@gmail.com"/>
        <s v="harsh@gmail.com"/>
        <s v="sash@gmail.com"/>
        <s v="sahana@gmail.com"/>
      </sharedItems>
    </cacheField>
    <cacheField name="Boxes Sold" numFmtId="0">
      <sharedItems containsSemiMixedTypes="0" containsString="0" containsNumber="1" containsInteger="1" minValue="5" maxValue="23"/>
    </cacheField>
    <cacheField name="Amount" numFmtId="164">
      <sharedItems containsSemiMixedTypes="0" containsString="0" containsNumber="1" containsInteger="1" minValue="100" maxValue="900"/>
    </cacheField>
    <cacheField name="Payment Mode" numFmtId="0">
      <sharedItems count="2">
        <s v="gpay"/>
        <s v="cas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n v="23"/>
    <n v="900"/>
    <x v="0"/>
  </r>
  <r>
    <x v="1"/>
    <x v="1"/>
    <x v="1"/>
    <n v="13"/>
    <n v="450"/>
    <x v="0"/>
  </r>
  <r>
    <x v="2"/>
    <x v="2"/>
    <x v="2"/>
    <n v="10"/>
    <n v="330"/>
    <x v="1"/>
  </r>
  <r>
    <x v="3"/>
    <x v="3"/>
    <x v="3"/>
    <n v="23"/>
    <n v="900"/>
    <x v="0"/>
  </r>
  <r>
    <x v="4"/>
    <x v="4"/>
    <x v="4"/>
    <n v="13"/>
    <n v="450"/>
    <x v="1"/>
  </r>
  <r>
    <x v="5"/>
    <x v="5"/>
    <x v="5"/>
    <n v="11"/>
    <n v="380"/>
    <x v="1"/>
  </r>
  <r>
    <x v="6"/>
    <x v="6"/>
    <x v="6"/>
    <n v="10"/>
    <n v="330"/>
    <x v="0"/>
  </r>
  <r>
    <x v="7"/>
    <x v="7"/>
    <x v="7"/>
    <n v="13"/>
    <n v="450"/>
    <x v="1"/>
  </r>
  <r>
    <x v="8"/>
    <x v="8"/>
    <x v="8"/>
    <n v="10"/>
    <n v="330"/>
    <x v="0"/>
  </r>
  <r>
    <x v="9"/>
    <x v="9"/>
    <x v="9"/>
    <n v="9"/>
    <n v="250"/>
    <x v="0"/>
  </r>
  <r>
    <x v="10"/>
    <x v="10"/>
    <x v="10"/>
    <n v="5"/>
    <n v="100"/>
    <x v="1"/>
  </r>
  <r>
    <x v="11"/>
    <x v="11"/>
    <x v="11"/>
    <n v="10"/>
    <n v="330"/>
    <x v="0"/>
  </r>
  <r>
    <x v="12"/>
    <x v="12"/>
    <x v="12"/>
    <n v="23"/>
    <n v="900"/>
    <x v="0"/>
  </r>
  <r>
    <x v="13"/>
    <x v="13"/>
    <x v="13"/>
    <n v="11"/>
    <n v="380"/>
    <x v="0"/>
  </r>
  <r>
    <x v="14"/>
    <x v="14"/>
    <x v="14"/>
    <n v="10"/>
    <n v="330"/>
    <x v="1"/>
  </r>
  <r>
    <x v="15"/>
    <x v="15"/>
    <x v="15"/>
    <n v="9"/>
    <n v="25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928E1-DA90-4E3C-86EA-0C3B3F4E643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26:J29" firstHeaderRow="1" firstDataRow="1" firstDataCol="1"/>
  <pivotFields count="6">
    <pivotField showAll="0">
      <items count="17">
        <item x="5"/>
        <item x="9"/>
        <item x="3"/>
        <item x="6"/>
        <item x="2"/>
        <item x="10"/>
        <item x="14"/>
        <item x="13"/>
        <item x="11"/>
        <item x="7"/>
        <item x="1"/>
        <item x="15"/>
        <item x="12"/>
        <item x="8"/>
        <item x="0"/>
        <item x="4"/>
        <item t="default"/>
      </items>
    </pivotField>
    <pivotField showAll="0">
      <items count="17">
        <item x="4"/>
        <item x="0"/>
        <item x="9"/>
        <item x="13"/>
        <item x="3"/>
        <item x="6"/>
        <item x="1"/>
        <item x="2"/>
        <item x="10"/>
        <item x="12"/>
        <item x="15"/>
        <item x="11"/>
        <item x="14"/>
        <item x="7"/>
        <item x="8"/>
        <item x="5"/>
        <item t="default"/>
      </items>
    </pivotField>
    <pivotField showAll="0">
      <items count="17">
        <item x="4"/>
        <item x="0"/>
        <item x="9"/>
        <item x="13"/>
        <item x="3"/>
        <item x="6"/>
        <item x="1"/>
        <item x="2"/>
        <item x="10"/>
        <item x="12"/>
        <item x="15"/>
        <item x="11"/>
        <item x="14"/>
        <item x="7"/>
        <item x="8"/>
        <item x="5"/>
        <item t="default"/>
      </items>
    </pivotField>
    <pivotField showAll="0"/>
    <pivotField dataField="1" numFmtId="164" showAll="0"/>
    <pivotField axis="axisRow" showAll="0">
      <items count="3">
        <item x="1"/>
        <item x="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Amount" fld="4" baseField="0" baseItem="0" numFmtId="164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41A606-FC9F-435F-94E7-FBB3EA143D95}" name="Table1" displayName="Table1" ref="B4:G20" totalsRowShown="0">
  <autoFilter ref="B4:G20" xr:uid="{A941A606-FC9F-435F-94E7-FBB3EA143D95}"/>
  <tableColumns count="6">
    <tableColumn id="1" xr3:uid="{778C4631-EDBB-4476-BC33-888CBAF04B4A}" name="Date " dataDxfId="5"/>
    <tableColumn id="2" xr3:uid="{98B99F7F-63A4-4158-AF1D-37456D14DE36}" name="Name" dataDxfId="4"/>
    <tableColumn id="3" xr3:uid="{110D8091-3856-445A-B600-3AAA2159320D}" name="Email" dataDxfId="3"/>
    <tableColumn id="4" xr3:uid="{B58D3D21-80CF-4BC9-9930-CCC2B1F02E71}" name="Boxes Sold" dataDxfId="2"/>
    <tableColumn id="5" xr3:uid="{7539D8C1-0BBD-45F0-BF76-985A4E06C66A}" name="Amount" dataDxfId="0"/>
    <tableColumn id="6" xr3:uid="{391998E7-3FA0-4827-98AB-0CE6CB41F264}" name="Payment Mode" dataDxfId="1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yo@gmail.com" TargetMode="External"/><Relationship Id="rId13" Type="http://schemas.openxmlformats.org/officeDocument/2006/relationships/hyperlink" Target="mailto:sangeetha@gmail.com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mailto:kaladevi@gmail.com" TargetMode="External"/><Relationship Id="rId7" Type="http://schemas.openxmlformats.org/officeDocument/2006/relationships/hyperlink" Target="mailto:suganya@gmail.com" TargetMode="External"/><Relationship Id="rId12" Type="http://schemas.openxmlformats.org/officeDocument/2006/relationships/hyperlink" Target="mailto:kiru@gmail.com" TargetMode="External"/><Relationship Id="rId17" Type="http://schemas.openxmlformats.org/officeDocument/2006/relationships/hyperlink" Target="mailto:sahana@gmail.com" TargetMode="External"/><Relationship Id="rId2" Type="http://schemas.openxmlformats.org/officeDocument/2006/relationships/hyperlink" Target="mailto:akshaya@gmail.com" TargetMode="External"/><Relationship Id="rId16" Type="http://schemas.openxmlformats.org/officeDocument/2006/relationships/hyperlink" Target="mailto:sash@gmail.com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mailto:aishwarya@gmail.com" TargetMode="External"/><Relationship Id="rId11" Type="http://schemas.openxmlformats.org/officeDocument/2006/relationships/hyperlink" Target="mailto:amritha@gmail.com" TargetMode="External"/><Relationship Id="rId5" Type="http://schemas.openxmlformats.org/officeDocument/2006/relationships/hyperlink" Target="mailto:janis@gmail.com" TargetMode="External"/><Relationship Id="rId15" Type="http://schemas.openxmlformats.org/officeDocument/2006/relationships/hyperlink" Target="mailto:harsh@gmail.com" TargetMode="External"/><Relationship Id="rId10" Type="http://schemas.openxmlformats.org/officeDocument/2006/relationships/hyperlink" Target="mailto:subha@gmail.com" TargetMode="External"/><Relationship Id="rId19" Type="http://schemas.openxmlformats.org/officeDocument/2006/relationships/table" Target="../tables/table1.xml"/><Relationship Id="rId4" Type="http://schemas.openxmlformats.org/officeDocument/2006/relationships/hyperlink" Target="mailto:kaviyasree@gmail.com" TargetMode="External"/><Relationship Id="rId9" Type="http://schemas.openxmlformats.org/officeDocument/2006/relationships/hyperlink" Target="mailto:shruthi@gmail.ccom" TargetMode="External"/><Relationship Id="rId14" Type="http://schemas.openxmlformats.org/officeDocument/2006/relationships/hyperlink" Target="mailto:meg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2C61-5674-492D-BE8B-0E92DF3D37F1}">
  <dimension ref="A1:J29"/>
  <sheetViews>
    <sheetView tabSelected="1" zoomScaleNormal="100" workbookViewId="0">
      <selection activeCell="C24" sqref="C24"/>
    </sheetView>
  </sheetViews>
  <sheetFormatPr defaultRowHeight="15.05" x14ac:dyDescent="0.3"/>
  <cols>
    <col min="1" max="1" width="15.109375" customWidth="1"/>
    <col min="2" max="2" width="13.21875" bestFit="1" customWidth="1"/>
    <col min="3" max="4" width="20" bestFit="1" customWidth="1"/>
    <col min="5" max="5" width="15.109375" bestFit="1" customWidth="1"/>
    <col min="6" max="6" width="15.77734375" customWidth="1"/>
    <col min="9" max="9" width="12.44140625" bestFit="1" customWidth="1"/>
    <col min="10" max="11" width="14.44140625" bestFit="1" customWidth="1"/>
  </cols>
  <sheetData>
    <row r="1" spans="1:7" s="1" customFormat="1" ht="30.7" x14ac:dyDescent="0.55000000000000004">
      <c r="A1" s="2" t="s">
        <v>0</v>
      </c>
    </row>
    <row r="4" spans="1:7" x14ac:dyDescent="0.3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B5" s="3" t="s">
        <v>22</v>
      </c>
      <c r="C5" s="3" t="s">
        <v>7</v>
      </c>
      <c r="D5" s="4" t="s">
        <v>8</v>
      </c>
      <c r="E5" s="3">
        <v>23</v>
      </c>
      <c r="F5" s="6">
        <v>900</v>
      </c>
      <c r="G5" s="3" t="s">
        <v>9</v>
      </c>
    </row>
    <row r="6" spans="1:7" x14ac:dyDescent="0.3">
      <c r="B6" s="3" t="s">
        <v>23</v>
      </c>
      <c r="C6" s="3" t="s">
        <v>10</v>
      </c>
      <c r="D6" s="4" t="s">
        <v>11</v>
      </c>
      <c r="E6" s="5">
        <v>13</v>
      </c>
      <c r="F6" s="6">
        <v>450</v>
      </c>
      <c r="G6" s="3" t="s">
        <v>9</v>
      </c>
    </row>
    <row r="7" spans="1:7" x14ac:dyDescent="0.3">
      <c r="B7" s="3" t="s">
        <v>24</v>
      </c>
      <c r="C7" s="3" t="s">
        <v>12</v>
      </c>
      <c r="D7" s="4" t="s">
        <v>13</v>
      </c>
      <c r="E7" s="5">
        <v>10</v>
      </c>
      <c r="F7" s="6">
        <v>330</v>
      </c>
      <c r="G7" s="3" t="s">
        <v>14</v>
      </c>
    </row>
    <row r="8" spans="1:7" x14ac:dyDescent="0.3">
      <c r="B8" s="3" t="s">
        <v>15</v>
      </c>
      <c r="C8" s="3" t="s">
        <v>16</v>
      </c>
      <c r="D8" s="4" t="s">
        <v>17</v>
      </c>
      <c r="E8" s="3">
        <v>23</v>
      </c>
      <c r="F8" s="6">
        <v>900</v>
      </c>
      <c r="G8" s="3" t="s">
        <v>9</v>
      </c>
    </row>
    <row r="9" spans="1:7" x14ac:dyDescent="0.3">
      <c r="B9" s="3" t="s">
        <v>25</v>
      </c>
      <c r="C9" s="3" t="s">
        <v>18</v>
      </c>
      <c r="D9" s="4" t="s">
        <v>19</v>
      </c>
      <c r="E9" s="3">
        <v>13</v>
      </c>
      <c r="F9" s="6">
        <v>450</v>
      </c>
      <c r="G9" s="3" t="s">
        <v>14</v>
      </c>
    </row>
    <row r="10" spans="1:7" x14ac:dyDescent="0.3">
      <c r="B10" s="3" t="s">
        <v>26</v>
      </c>
      <c r="C10" s="3" t="s">
        <v>20</v>
      </c>
      <c r="D10" s="4" t="s">
        <v>21</v>
      </c>
      <c r="E10" s="3">
        <v>11</v>
      </c>
      <c r="F10" s="6">
        <v>380</v>
      </c>
      <c r="G10" s="3" t="s">
        <v>14</v>
      </c>
    </row>
    <row r="11" spans="1:7" x14ac:dyDescent="0.3">
      <c r="B11" s="3" t="s">
        <v>27</v>
      </c>
      <c r="C11" s="3" t="s">
        <v>28</v>
      </c>
      <c r="D11" s="4" t="s">
        <v>29</v>
      </c>
      <c r="E11" s="3">
        <v>10</v>
      </c>
      <c r="F11" s="6">
        <v>330</v>
      </c>
      <c r="G11" s="3" t="s">
        <v>9</v>
      </c>
    </row>
    <row r="12" spans="1:7" x14ac:dyDescent="0.3">
      <c r="B12" s="3" t="s">
        <v>30</v>
      </c>
      <c r="C12" s="3" t="s">
        <v>31</v>
      </c>
      <c r="D12" s="4" t="s">
        <v>32</v>
      </c>
      <c r="E12" s="3">
        <v>13</v>
      </c>
      <c r="F12" s="6">
        <v>450</v>
      </c>
      <c r="G12" s="3" t="s">
        <v>14</v>
      </c>
    </row>
    <row r="13" spans="1:7" x14ac:dyDescent="0.3">
      <c r="B13" s="3" t="s">
        <v>33</v>
      </c>
      <c r="C13" s="3" t="s">
        <v>34</v>
      </c>
      <c r="D13" s="4" t="s">
        <v>35</v>
      </c>
      <c r="E13" s="3">
        <v>10</v>
      </c>
      <c r="F13" s="6">
        <v>330</v>
      </c>
      <c r="G13" s="3" t="s">
        <v>9</v>
      </c>
    </row>
    <row r="14" spans="1:7" x14ac:dyDescent="0.3">
      <c r="B14" s="3" t="s">
        <v>36</v>
      </c>
      <c r="C14" s="3" t="s">
        <v>37</v>
      </c>
      <c r="D14" s="4" t="s">
        <v>38</v>
      </c>
      <c r="E14" s="3">
        <v>9</v>
      </c>
      <c r="F14" s="6">
        <v>250</v>
      </c>
      <c r="G14" s="3" t="s">
        <v>9</v>
      </c>
    </row>
    <row r="15" spans="1:7" x14ac:dyDescent="0.3">
      <c r="B15" s="3" t="s">
        <v>39</v>
      </c>
      <c r="C15" s="3" t="s">
        <v>40</v>
      </c>
      <c r="D15" s="4" t="s">
        <v>41</v>
      </c>
      <c r="E15" s="3">
        <v>5</v>
      </c>
      <c r="F15" s="6">
        <v>100</v>
      </c>
      <c r="G15" s="3" t="s">
        <v>14</v>
      </c>
    </row>
    <row r="16" spans="1:7" x14ac:dyDescent="0.3">
      <c r="B16" s="3" t="s">
        <v>42</v>
      </c>
      <c r="C16" s="3" t="s">
        <v>43</v>
      </c>
      <c r="D16" s="4" t="s">
        <v>44</v>
      </c>
      <c r="E16" s="3">
        <v>10</v>
      </c>
      <c r="F16" s="6">
        <v>330</v>
      </c>
      <c r="G16" s="3" t="s">
        <v>9</v>
      </c>
    </row>
    <row r="17" spans="2:10" x14ac:dyDescent="0.3">
      <c r="B17" s="3" t="s">
        <v>45</v>
      </c>
      <c r="C17" s="3" t="s">
        <v>46</v>
      </c>
      <c r="D17" s="4" t="s">
        <v>47</v>
      </c>
      <c r="E17" s="3">
        <v>23</v>
      </c>
      <c r="F17" s="6">
        <v>900</v>
      </c>
      <c r="G17" s="3" t="s">
        <v>9</v>
      </c>
    </row>
    <row r="18" spans="2:10" x14ac:dyDescent="0.3">
      <c r="B18" s="3" t="s">
        <v>48</v>
      </c>
      <c r="C18" s="3" t="s">
        <v>49</v>
      </c>
      <c r="D18" s="4" t="s">
        <v>50</v>
      </c>
      <c r="E18" s="3">
        <v>11</v>
      </c>
      <c r="F18" s="6">
        <v>380</v>
      </c>
      <c r="G18" s="3" t="s">
        <v>9</v>
      </c>
    </row>
    <row r="19" spans="2:10" x14ac:dyDescent="0.3">
      <c r="B19" s="3" t="s">
        <v>53</v>
      </c>
      <c r="C19" s="3" t="s">
        <v>51</v>
      </c>
      <c r="D19" s="4" t="s">
        <v>52</v>
      </c>
      <c r="E19" s="3">
        <v>10</v>
      </c>
      <c r="F19" s="6">
        <v>330</v>
      </c>
      <c r="G19" s="3" t="s">
        <v>14</v>
      </c>
    </row>
    <row r="20" spans="2:10" x14ac:dyDescent="0.3">
      <c r="B20" s="8" t="s">
        <v>54</v>
      </c>
      <c r="C20" s="8" t="s">
        <v>55</v>
      </c>
      <c r="D20" s="10" t="s">
        <v>56</v>
      </c>
      <c r="E20" s="8">
        <v>9</v>
      </c>
      <c r="F20" s="9">
        <v>250</v>
      </c>
      <c r="G20" s="8" t="s">
        <v>9</v>
      </c>
    </row>
    <row r="26" spans="2:10" x14ac:dyDescent="0.3">
      <c r="I26" s="11" t="s">
        <v>59</v>
      </c>
      <c r="J26" t="s">
        <v>61</v>
      </c>
    </row>
    <row r="27" spans="2:10" x14ac:dyDescent="0.3">
      <c r="E27" t="s">
        <v>58</v>
      </c>
      <c r="F27" s="7">
        <f>SUM(F5:F21)</f>
        <v>7060</v>
      </c>
      <c r="I27" s="12" t="s">
        <v>14</v>
      </c>
      <c r="J27" s="7">
        <v>2040</v>
      </c>
    </row>
    <row r="28" spans="2:10" x14ac:dyDescent="0.3">
      <c r="E28" t="s">
        <v>57</v>
      </c>
      <c r="F28">
        <f>SUM(Table1[Boxes Sold])</f>
        <v>203</v>
      </c>
      <c r="I28" s="12" t="s">
        <v>9</v>
      </c>
      <c r="J28" s="7">
        <v>5020</v>
      </c>
    </row>
    <row r="29" spans="2:10" x14ac:dyDescent="0.3">
      <c r="I29" s="12" t="s">
        <v>60</v>
      </c>
      <c r="J29" s="7">
        <v>7060</v>
      </c>
    </row>
  </sheetData>
  <hyperlinks>
    <hyperlink ref="D5" r:id="rId2" xr:uid="{1843736F-7143-4FFF-85B7-ED5D2421781B}"/>
    <hyperlink ref="D6" r:id="rId3" xr:uid="{74C6DE5A-2C8D-4ED0-B11B-1A1817346844}"/>
    <hyperlink ref="D7" r:id="rId4" xr:uid="{2A3A02DD-5DBF-4C0C-B293-25CC4F45BA73}"/>
    <hyperlink ref="D8" r:id="rId5" xr:uid="{088E42DE-F1D9-45D3-80F0-D5738D1BC3E3}"/>
    <hyperlink ref="D9" r:id="rId6" xr:uid="{DC6F5250-CE1E-4C30-B1B4-A18E57B293B3}"/>
    <hyperlink ref="D10" r:id="rId7" xr:uid="{99B02AD0-F10A-4CA6-ACB4-CD3DAECD16C2}"/>
    <hyperlink ref="D11" r:id="rId8" xr:uid="{B0BAE631-399E-4999-BF51-9010AB1ED928}"/>
    <hyperlink ref="D12" r:id="rId9" xr:uid="{83772C1C-9508-44A3-916C-B0165CAA1244}"/>
    <hyperlink ref="D13" r:id="rId10" xr:uid="{31B3D59E-6D77-46B2-9F77-2B39E89E42AC}"/>
    <hyperlink ref="D14" r:id="rId11" xr:uid="{2F7C378F-2445-47EE-B1E4-14E275EFB077}"/>
    <hyperlink ref="D15" r:id="rId12" xr:uid="{1670D581-AC2B-45CD-9A02-99762DBB02CE}"/>
    <hyperlink ref="D16" r:id="rId13" xr:uid="{8C519222-8E77-407D-8208-CA891D5FC17E}"/>
    <hyperlink ref="D17" r:id="rId14" xr:uid="{99802638-B1D7-47AC-B232-08C2116AF3C0}"/>
    <hyperlink ref="D18" r:id="rId15" xr:uid="{E6569578-E17E-43D2-BD3D-560223017925}"/>
    <hyperlink ref="D19" r:id="rId16" xr:uid="{77F5290F-C0A1-42F4-B9F5-92841DED81D4}"/>
    <hyperlink ref="D20" r:id="rId17" xr:uid="{33588428-C116-4ACD-BA36-2DDFF057CB56}"/>
  </hyperlinks>
  <pageMargins left="0.7" right="0.7" top="0.75" bottom="0.75" header="0.3" footer="0.3"/>
  <drawing r:id="rId18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S</dc:creator>
  <cp:lastModifiedBy>SANDHYA S</cp:lastModifiedBy>
  <dcterms:created xsi:type="dcterms:W3CDTF">2026-08-04T03:30:29Z</dcterms:created>
  <dcterms:modified xsi:type="dcterms:W3CDTF">2026-08-04T04:21:17Z</dcterms:modified>
</cp:coreProperties>
</file>